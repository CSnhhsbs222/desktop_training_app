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ristopher.fuqua\Desktop\"/>
    </mc:Choice>
  </mc:AlternateContent>
  <xr:revisionPtr revIDLastSave="0" documentId="8_{DDBBAEFE-736A-477B-937A-7BC45132E4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 Scheduler" sheetId="1" r:id="rId1"/>
    <sheet name="Client data" sheetId="3" state="hidden" r:id="rId2"/>
    <sheet name="define" sheetId="5" state="hidden" r:id="rId3"/>
    <sheet name="goal" sheetId="6" state="hidden" r:id="rId4"/>
    <sheet name="tips" sheetId="7" state="hidden" r:id="rId5"/>
    <sheet name="time" sheetId="8" state="hidden" r:id="rId6"/>
    <sheet name="resources" sheetId="9" state="hidden" r:id="rId7"/>
  </sheets>
  <externalReferences>
    <externalReference r:id="rId8"/>
  </externalReferences>
  <definedNames>
    <definedName name="FirstBlock">'[1]THERAPIST CASELOAD TRACKER'!$B$101:$B$102</definedName>
    <definedName name="_xlnm.Print_Area" localSheetId="0">'Weekly Scheduler'!$E$1:$N$41</definedName>
    <definedName name="SecondBlock">'[1]THERAPIST CASELOAD TRACKER'!$C$101:$C$104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1" l="1"/>
  <c r="A51" i="1" a="1"/>
  <c r="N53" i="1"/>
  <c r="L53" i="1"/>
  <c r="J53" i="1"/>
  <c r="H53" i="1"/>
  <c r="F53" i="1"/>
  <c r="N52" i="1"/>
  <c r="L52" i="1"/>
  <c r="J52" i="1"/>
  <c r="H52" i="1"/>
  <c r="F52" i="1"/>
  <c r="N50" i="1" a="1"/>
  <c r="L50" i="1" a="1"/>
  <c r="J50" i="1" a="1"/>
  <c r="H50" i="1" a="1"/>
  <c r="F50" i="1" a="1"/>
  <c r="C38" i="1"/>
  <c r="C37" i="1"/>
  <c r="A11" i="1" a="1"/>
  <c r="A10" i="1" a="1"/>
  <c r="A9" i="1" a="1"/>
  <c r="A8" i="1" a="1"/>
  <c r="A7" i="1" a="1"/>
  <c r="A6" i="1" a="1"/>
  <c r="A4" i="1" a="1"/>
  <c r="A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B26" i="1"/>
  <c r="C26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" i="1"/>
  <c r="B16" i="1"/>
  <c r="B15" i="1"/>
  <c r="B17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AA48" i="1"/>
  <c r="Y48" i="1"/>
  <c r="W48" i="1"/>
  <c r="U48" i="1"/>
  <c r="S22" i="1"/>
  <c r="S23" i="1"/>
  <c r="S24" i="1"/>
  <c r="S25" i="1"/>
  <c r="S26" i="1"/>
  <c r="S27" i="1"/>
  <c r="S32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AK4" i="1"/>
  <c r="AI4" i="1"/>
  <c r="AJ4" i="1"/>
  <c r="AH26" i="1"/>
  <c r="R26" i="1"/>
  <c r="AH25" i="1"/>
  <c r="R25" i="1"/>
  <c r="AH24" i="1"/>
  <c r="R24" i="1"/>
  <c r="AH23" i="1"/>
  <c r="R23" i="1"/>
  <c r="AH22" i="1"/>
  <c r="R22" i="1"/>
  <c r="AH21" i="1"/>
  <c r="R21" i="1"/>
  <c r="AH20" i="1"/>
  <c r="R20" i="1"/>
  <c r="AH19" i="1"/>
  <c r="R19" i="1"/>
  <c r="AH18" i="1"/>
  <c r="R18" i="1"/>
  <c r="AH17" i="1"/>
  <c r="R17" i="1"/>
  <c r="AH16" i="1"/>
  <c r="R16" i="1"/>
  <c r="AH15" i="1"/>
  <c r="R15" i="1"/>
  <c r="AH14" i="1"/>
  <c r="R14" i="1"/>
  <c r="AH13" i="1"/>
  <c r="R13" i="1"/>
  <c r="AH12" i="1"/>
  <c r="R12" i="1"/>
  <c r="AH11" i="1"/>
  <c r="R11" i="1"/>
  <c r="AH10" i="1"/>
  <c r="R10" i="1"/>
  <c r="AH9" i="1"/>
  <c r="R9" i="1"/>
  <c r="AH8" i="1"/>
  <c r="R8" i="1"/>
  <c r="AH7" i="1"/>
  <c r="R7" i="1"/>
  <c r="AH6" i="1"/>
  <c r="AH5" i="1"/>
  <c r="AH4" i="1"/>
  <c r="S29" i="1"/>
  <c r="S31" i="1"/>
  <c r="S28" i="1"/>
  <c r="S30" i="1"/>
  <c r="J54" i="1" l="1"/>
  <c r="H54" i="1"/>
  <c r="N54" i="1"/>
  <c r="L54" i="1"/>
  <c r="F51" i="1"/>
  <c r="J51" i="1"/>
  <c r="L51" i="1"/>
  <c r="H51" i="1"/>
  <c r="C30" i="1"/>
  <c r="T48" i="1"/>
  <c r="AB48" i="1"/>
  <c r="Z48" i="1"/>
  <c r="V48" i="1"/>
  <c r="AG14" i="1"/>
  <c r="AG13" i="1"/>
  <c r="AG12" i="1"/>
  <c r="AG11" i="1"/>
  <c r="AG10" i="1"/>
  <c r="AG9" i="1"/>
  <c r="AG8" i="1"/>
  <c r="AG7" i="1"/>
  <c r="AG6" i="1"/>
  <c r="AG5" i="1"/>
  <c r="AF7" i="1"/>
  <c r="AF6" i="1"/>
  <c r="AF5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C12" i="1"/>
  <c r="AC11" i="1"/>
  <c r="AC10" i="1"/>
  <c r="AC9" i="1"/>
  <c r="AC8" i="1"/>
  <c r="AC7" i="1"/>
  <c r="AC6" i="1"/>
  <c r="AC5" i="1"/>
  <c r="AK5" i="1"/>
  <c r="AC32" i="1"/>
  <c r="AC31" i="1"/>
  <c r="AC28" i="1"/>
  <c r="AC25" i="1"/>
  <c r="AC23" i="1"/>
  <c r="AC21" i="1"/>
  <c r="AC19" i="1"/>
  <c r="AC16" i="1"/>
  <c r="AC13" i="1"/>
  <c r="AC33" i="1"/>
  <c r="AC29" i="1"/>
  <c r="AC27" i="1"/>
  <c r="AC26" i="1"/>
  <c r="AC24" i="1"/>
  <c r="AC22" i="1"/>
  <c r="AC20" i="1"/>
  <c r="AC18" i="1"/>
  <c r="AC17" i="1"/>
  <c r="AC15" i="1"/>
  <c r="AC14" i="1"/>
  <c r="AC30" i="1"/>
  <c r="AF9" i="1"/>
  <c r="AF8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F30" i="1"/>
  <c r="AF29" i="1"/>
  <c r="AF16" i="1"/>
  <c r="AF14" i="1"/>
  <c r="AF12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5" i="1"/>
  <c r="AF13" i="1"/>
  <c r="AF11" i="1"/>
  <c r="AF10" i="1"/>
  <c r="X48" i="1"/>
  <c r="AE30" i="1"/>
  <c r="AD30" i="1"/>
  <c r="AG45" i="1" l="1"/>
  <c r="AG43" i="1"/>
  <c r="AG41" i="1"/>
  <c r="AG39" i="1"/>
  <c r="AG38" i="1"/>
  <c r="AG33" i="1"/>
  <c r="AG36" i="1"/>
  <c r="AG44" i="1"/>
  <c r="AG42" i="1"/>
  <c r="AG40" i="1"/>
  <c r="AG37" i="1"/>
  <c r="AG35" i="1"/>
  <c r="AG34" i="1"/>
  <c r="AD34" i="1"/>
  <c r="AF33" i="1"/>
  <c r="AE31" i="1"/>
  <c r="AD38" i="1"/>
  <c r="AD37" i="1"/>
  <c r="AG48" i="1"/>
  <c r="AG47" i="1"/>
  <c r="AG46" i="1"/>
  <c r="AE33" i="1"/>
  <c r="AE32" i="1"/>
  <c r="AD36" i="1"/>
  <c r="AD35" i="1"/>
  <c r="AD33" i="1"/>
  <c r="AD32" i="1"/>
  <c r="AD31" i="1"/>
  <c r="AG32" i="1"/>
  <c r="AG31" i="1"/>
  <c r="AG30" i="1"/>
  <c r="AF32" i="1"/>
  <c r="AF31" i="1"/>
  <c r="AI5" i="1"/>
  <c r="AK6" i="1" s="1"/>
  <c r="AJ5" i="1"/>
  <c r="AD39" i="1"/>
  <c r="S33" i="1"/>
  <c r="F54" i="1" s="1"/>
  <c r="AJ6" i="1" l="1"/>
  <c r="AI6" i="1"/>
  <c r="AK7" i="1" s="1"/>
  <c r="AF38" i="1"/>
  <c r="AF34" i="1"/>
  <c r="AF37" i="1"/>
  <c r="AF42" i="1"/>
  <c r="AF41" i="1"/>
  <c r="AF44" i="1"/>
  <c r="AF47" i="1"/>
  <c r="AF39" i="1"/>
  <c r="AF45" i="1"/>
  <c r="AF46" i="1"/>
  <c r="AF43" i="1"/>
  <c r="AF48" i="1"/>
  <c r="AF36" i="1"/>
  <c r="AF40" i="1"/>
  <c r="AF35" i="1"/>
  <c r="AE34" i="1"/>
  <c r="AE36" i="1"/>
  <c r="AE48" i="1"/>
  <c r="AE47" i="1"/>
  <c r="AE37" i="1"/>
  <c r="AE38" i="1"/>
  <c r="AE39" i="1"/>
  <c r="AE46" i="1"/>
  <c r="AE45" i="1"/>
  <c r="AE44" i="1"/>
  <c r="AE43" i="1"/>
  <c r="AE42" i="1"/>
  <c r="AE41" i="1"/>
  <c r="AE35" i="1"/>
  <c r="AE40" i="1"/>
  <c r="AC37" i="1"/>
  <c r="AC41" i="1"/>
  <c r="AC36" i="1"/>
  <c r="AC42" i="1"/>
  <c r="AC39" i="1"/>
  <c r="AC38" i="1"/>
  <c r="AC40" i="1"/>
  <c r="AC43" i="1"/>
  <c r="AC35" i="1"/>
  <c r="AC44" i="1"/>
  <c r="AC45" i="1"/>
  <c r="AC46" i="1"/>
  <c r="AC48" i="1"/>
  <c r="AC47" i="1"/>
  <c r="AC34" i="1"/>
  <c r="AD40" i="1"/>
  <c r="AD43" i="1" l="1"/>
  <c r="AD47" i="1"/>
  <c r="AD48" i="1"/>
  <c r="AD46" i="1"/>
  <c r="AD45" i="1"/>
  <c r="AD44" i="1"/>
  <c r="AI7" i="1"/>
  <c r="AK8" i="1" s="1"/>
  <c r="AJ7" i="1"/>
  <c r="AD41" i="1"/>
  <c r="AD42" i="1"/>
  <c r="AJ8" i="1" l="1"/>
  <c r="AI8" i="1"/>
  <c r="AK9" i="1" s="1"/>
  <c r="AJ9" i="1" l="1"/>
  <c r="AI9" i="1"/>
  <c r="AK10" i="1" s="1"/>
  <c r="AI10" i="1" l="1"/>
  <c r="AK11" i="1" s="1"/>
  <c r="AJ10" i="1"/>
  <c r="AI11" i="1" l="1"/>
  <c r="AK12" i="1" s="1"/>
  <c r="AJ11" i="1"/>
  <c r="AJ12" i="1" l="1"/>
  <c r="AI12" i="1"/>
  <c r="AK13" i="1" s="1"/>
  <c r="AJ13" i="1" l="1"/>
  <c r="AI13" i="1"/>
  <c r="AK14" i="1" s="1"/>
  <c r="AI14" i="1" l="1"/>
  <c r="AK15" i="1" s="1"/>
  <c r="AJ14" i="1"/>
  <c r="AI15" i="1" l="1"/>
  <c r="AK16" i="1" s="1"/>
  <c r="AJ15" i="1"/>
  <c r="AJ16" i="1" l="1"/>
  <c r="AI16" i="1"/>
  <c r="AK17" i="1" s="1"/>
  <c r="AI17" i="1" l="1"/>
  <c r="AK18" i="1" s="1"/>
  <c r="AJ17" i="1"/>
  <c r="AJ18" i="1" l="1"/>
  <c r="AI18" i="1"/>
  <c r="AK19" i="1" s="1"/>
  <c r="AI19" i="1" l="1"/>
  <c r="AK20" i="1" s="1"/>
  <c r="AJ19" i="1"/>
  <c r="AI20" i="1" l="1"/>
  <c r="AK21" i="1" s="1"/>
  <c r="AJ20" i="1"/>
  <c r="AJ21" i="1" l="1"/>
  <c r="AI21" i="1"/>
  <c r="AK22" i="1" s="1"/>
  <c r="AI22" i="1" l="1"/>
  <c r="AK23" i="1" s="1"/>
  <c r="AJ22" i="1"/>
  <c r="AJ23" i="1" l="1"/>
  <c r="AI23" i="1"/>
  <c r="AK24" i="1" s="1"/>
  <c r="AI24" i="1" l="1"/>
  <c r="AK25" i="1" s="1"/>
  <c r="AJ24" i="1"/>
  <c r="AJ25" i="1" l="1"/>
  <c r="AI25" i="1"/>
  <c r="AK26" i="1" s="1"/>
  <c r="AI26" i="1" l="1"/>
  <c r="AJ26" i="1"/>
  <c r="C32" i="1"/>
  <c r="C31" i="1"/>
  <c r="A51" i="1"/>
  <c r="N50" i="1"/>
  <c r="N51" i="1" s="1"/>
  <c r="L50" i="1"/>
  <c r="J50" i="1"/>
  <c r="H50" i="1"/>
  <c r="F50" i="1"/>
  <c r="A11" i="1"/>
  <c r="A10" i="1"/>
  <c r="A9" i="1"/>
  <c r="A8" i="1"/>
  <c r="A7" i="1"/>
  <c r="A6" i="1"/>
  <c r="A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<sst xmlns="http://schemas.openxmlformats.org/spreadsheetml/2006/main" count="283" uniqueCount="223">
  <si>
    <t>✦  WEEKLY THERAPY SCHEDULER  ✦</t>
  </si>
  <si>
    <t>Individual 16-37</t>
  </si>
  <si>
    <t>Monday</t>
  </si>
  <si>
    <t>Tuesday</t>
  </si>
  <si>
    <t>Wednesday</t>
  </si>
  <si>
    <t>Thursday</t>
  </si>
  <si>
    <t>Friday</t>
  </si>
  <si>
    <t>Family 26+</t>
  </si>
  <si>
    <t>Intake</t>
  </si>
  <si>
    <t>Non-billable 30 min admin block</t>
  </si>
  <si>
    <t>PTO / Closed Day</t>
  </si>
  <si>
    <t>Client</t>
  </si>
  <si>
    <t>Minutes</t>
  </si>
  <si>
    <t>Session Type</t>
  </si>
  <si>
    <t>Mon Min</t>
  </si>
  <si>
    <t>Mon Cr</t>
  </si>
  <si>
    <t>Tue Min</t>
  </si>
  <si>
    <t>Tue Cr</t>
  </si>
  <si>
    <t>Wed Min</t>
  </si>
  <si>
    <t>Wed Cr</t>
  </si>
  <si>
    <t>Thu Min</t>
  </si>
  <si>
    <t>Thu Cr</t>
  </si>
  <si>
    <t>Fri Min</t>
  </si>
  <si>
    <t>Fri Cr</t>
  </si>
  <si>
    <t>Mon Block</t>
  </si>
  <si>
    <t>Tue Block</t>
  </si>
  <si>
    <t>Wed Block</t>
  </si>
  <si>
    <t>Thu Block</t>
  </si>
  <si>
    <t>Fri Block</t>
  </si>
  <si>
    <t>TCP Due Date</t>
  </si>
  <si>
    <t>School ROI Due</t>
  </si>
  <si>
    <t>MCS 26-27 CALENDAR</t>
  </si>
  <si>
    <t>August</t>
  </si>
  <si>
    <t>10th First full day for students</t>
  </si>
  <si>
    <t>September</t>
  </si>
  <si>
    <t>October</t>
  </si>
  <si>
    <t>5th thru 9th Fall Break</t>
  </si>
  <si>
    <t>November</t>
  </si>
  <si>
    <t>3rd Election day/ Parent-Teacher Conferences</t>
  </si>
  <si>
    <t>December</t>
  </si>
  <si>
    <t>January</t>
  </si>
  <si>
    <t>5th Students return from break</t>
  </si>
  <si>
    <t>February</t>
  </si>
  <si>
    <t>12th Stockpile day</t>
  </si>
  <si>
    <t>15th President's day</t>
  </si>
  <si>
    <t>March</t>
  </si>
  <si>
    <t>11th Parent-Teacher Conferences</t>
  </si>
  <si>
    <t>April</t>
  </si>
  <si>
    <t>TESTING</t>
  </si>
  <si>
    <t>May</t>
  </si>
  <si>
    <t>28th Last day of school</t>
  </si>
  <si>
    <t>Client Paperwork Due</t>
  </si>
  <si>
    <t>NAME</t>
  </si>
  <si>
    <t>Primary Assessment</t>
  </si>
  <si>
    <t>Notes</t>
  </si>
  <si>
    <t>SELECT</t>
  </si>
  <si>
    <t>ADULT</t>
  </si>
  <si>
    <t>1X WEEKLY</t>
  </si>
  <si>
    <t>INDIVIDUAL</t>
  </si>
  <si>
    <t>53-60 MINUTES</t>
  </si>
  <si>
    <t>PHQA/PHQ9</t>
  </si>
  <si>
    <t>16-37 MINUTES</t>
  </si>
  <si>
    <t>2X MONTHLY</t>
  </si>
  <si>
    <t>FAMILY</t>
  </si>
  <si>
    <t>SCARED/GAD7</t>
  </si>
  <si>
    <t>3X MONTHLY</t>
  </si>
  <si>
    <t>CRISIS</t>
  </si>
  <si>
    <t>38-52 MINUTES</t>
  </si>
  <si>
    <t>PSC-17</t>
  </si>
  <si>
    <t>1X MONTHLY</t>
  </si>
  <si>
    <t>PARENTING</t>
  </si>
  <si>
    <t>30 MIN (GROUP/ FAMILY)</t>
  </si>
  <si>
    <t>C-SSRS</t>
  </si>
  <si>
    <t>1/6/2026</t>
  </si>
  <si>
    <t>GROUP</t>
  </si>
  <si>
    <t>75 MIN (INTAKE)</t>
  </si>
  <si>
    <t>MDQ (adult only)</t>
  </si>
  <si>
    <t>INTAKE</t>
  </si>
  <si>
    <t>PCL-5 (adult only)</t>
  </si>
  <si>
    <t>DECLINED 11/4/26</t>
  </si>
  <si>
    <t>VANDERBILT SCALES</t>
  </si>
  <si>
    <t>OTHER</t>
  </si>
  <si>
    <t>Client A</t>
  </si>
  <si>
    <t>Client B</t>
  </si>
  <si>
    <t>Client C</t>
  </si>
  <si>
    <t>Client D</t>
  </si>
  <si>
    <t>Client E</t>
  </si>
  <si>
    <t>Client F</t>
  </si>
  <si>
    <t>Client G</t>
  </si>
  <si>
    <t>Client H</t>
  </si>
  <si>
    <t>Client I</t>
  </si>
  <si>
    <t>Session Time</t>
  </si>
  <si>
    <t>Individual 30 min</t>
  </si>
  <si>
    <t>Individual 45 min</t>
  </si>
  <si>
    <t>Individual 60 min</t>
  </si>
  <si>
    <t>Family 30 min</t>
  </si>
  <si>
    <t>Group (min 2, max 8 x .33)</t>
  </si>
  <si>
    <t>PTO Full Day</t>
  </si>
  <si>
    <t>PTO Half Day</t>
  </si>
  <si>
    <t>Month</t>
  </si>
  <si>
    <t>Days Out</t>
  </si>
  <si>
    <t>18th Stockpile day</t>
  </si>
  <si>
    <r>
      <t>21st thru Jan 4th Winter Break (</t>
    </r>
    <r>
      <rPr>
        <b/>
        <sz val="11"/>
        <color theme="1"/>
        <rFont val="Calibri"/>
        <family val="2"/>
        <scheme val="minor"/>
      </rPr>
      <t>Centerstone closed 24th &amp; 25th</t>
    </r>
    <r>
      <rPr>
        <sz val="11"/>
        <color theme="1"/>
        <rFont val="Calibri"/>
        <family val="2"/>
        <scheme val="minor"/>
      </rPr>
      <t>)</t>
    </r>
  </si>
  <si>
    <r>
      <t>23rd thru 27th Thanksgiving Break (</t>
    </r>
    <r>
      <rPr>
        <b/>
        <sz val="11"/>
        <color theme="1"/>
        <rFont val="Calibri"/>
        <family val="2"/>
        <scheme val="minor"/>
      </rPr>
      <t>Centerstone closed 26th &amp; 27th</t>
    </r>
    <r>
      <rPr>
        <sz val="11"/>
        <color theme="1"/>
        <rFont val="Calibri"/>
        <family val="2"/>
        <scheme val="minor"/>
      </rPr>
      <t>)</t>
    </r>
  </si>
  <si>
    <r>
      <t>7th Labor day (</t>
    </r>
    <r>
      <rPr>
        <b/>
        <sz val="11"/>
        <color theme="1"/>
        <rFont val="Calibri"/>
        <family val="2"/>
        <scheme val="minor"/>
      </rPr>
      <t>Centerstone closed</t>
    </r>
    <r>
      <rPr>
        <sz val="11"/>
        <color theme="1"/>
        <rFont val="Calibri"/>
        <family val="2"/>
        <scheme val="minor"/>
      </rPr>
      <t>)</t>
    </r>
  </si>
  <si>
    <r>
      <t>18th Martin Luther King, Jr Day (</t>
    </r>
    <r>
      <rPr>
        <b/>
        <sz val="11"/>
        <color theme="1"/>
        <rFont val="Calibri"/>
        <family val="2"/>
        <scheme val="minor"/>
      </rPr>
      <t>Centerstone closed</t>
    </r>
    <r>
      <rPr>
        <sz val="11"/>
        <color theme="1"/>
        <rFont val="Calibri"/>
        <family val="2"/>
        <scheme val="minor"/>
      </rPr>
      <t>)</t>
    </r>
  </si>
  <si>
    <t>26th thru April 2nd Spring Break</t>
  </si>
  <si>
    <t xml:space="preserve">27th Day out for students; </t>
  </si>
  <si>
    <r>
      <t>31st Memorial day (</t>
    </r>
    <r>
      <rPr>
        <b/>
        <sz val="11"/>
        <color theme="1"/>
        <rFont val="Calibri"/>
        <family val="2"/>
        <scheme val="minor"/>
      </rPr>
      <t>Centerstone closed</t>
    </r>
    <r>
      <rPr>
        <sz val="11"/>
        <color theme="1"/>
        <rFont val="Calibri"/>
        <family val="2"/>
        <scheme val="minor"/>
      </rPr>
      <t>)</t>
    </r>
  </si>
  <si>
    <t>Earned</t>
  </si>
  <si>
    <t>CSG Target</t>
  </si>
  <si>
    <t>Variance</t>
  </si>
  <si>
    <t>WEEK 1</t>
  </si>
  <si>
    <t>WEEK 2</t>
  </si>
  <si>
    <t>WEEK 3</t>
  </si>
  <si>
    <t>WEEK 4</t>
  </si>
  <si>
    <t>TARGET</t>
  </si>
  <si>
    <t>EARNED</t>
  </si>
  <si>
    <t>MONTHLY CSG CALCULATOR</t>
  </si>
  <si>
    <t>TOTALS</t>
  </si>
  <si>
    <t>INCENTIVE CALCULATOR</t>
  </si>
  <si>
    <t>% Achieved</t>
  </si>
  <si>
    <t>Incentive Earned</t>
  </si>
  <si>
    <t>Status</t>
  </si>
  <si>
    <t>You got this! 💪</t>
  </si>
  <si>
    <t>Progress, not perfection! ⭐</t>
  </si>
  <si>
    <t>One session at a time! 🎯</t>
  </si>
  <si>
    <t>You're making a difference! 🌟</t>
  </si>
  <si>
    <t>Self-care isn't selfish! 🧘</t>
  </si>
  <si>
    <t>Boundaries protect your energy! 🛡️</t>
  </si>
  <si>
    <t>You're worth more than your productivity! ❤️</t>
  </si>
  <si>
    <t>Take a breath. You're doing great! 🌬️</t>
  </si>
  <si>
    <t>Your work matters! 🙌</t>
  </si>
  <si>
    <t>Remember: You can't pour from an empty cup! ☕</t>
  </si>
  <si>
    <t>Your clients are lucky to have you! 🍀</t>
  </si>
  <si>
    <t>Burnout is real. Rest is productive! 😴</t>
  </si>
  <si>
    <t>Celebrate your wins - even the small ones! 🎉</t>
  </si>
  <si>
    <t>Breathe in calm, breathe out stress! 🌊</t>
  </si>
  <si>
    <t>You're exactly where you need to be! 🗺️</t>
  </si>
  <si>
    <t>Encouragements</t>
  </si>
  <si>
    <t>Count</t>
  </si>
  <si>
    <t>Why did the therapist bring a ladder? To help clients reach new heights! 😄</t>
  </si>
  <si>
    <t>I told my therapist about my fear of giants. She said I need to look up to people more! 🤣</t>
  </si>
  <si>
    <t>How many therapists does it take to change a lightbulb? Just one, but the lightbulb has to WANT to change! 💡</t>
  </si>
  <si>
    <t>Why do therapists make great DJs? They know how to read the room! 🎧</t>
  </si>
  <si>
    <t>I'm reading a book on anti-gravity therapy. I can't put it down! 📚</t>
  </si>
  <si>
    <t>What did the therapist say to the calendar? Your days are numbered... but let's make them count! 📅</t>
  </si>
  <si>
    <t>Knock knock! Who's there? Freud. Freud who? Freud you'd ask - let's explore that! 🚪</t>
  </si>
  <si>
    <t>Knock knock! Who's there? Coping. Coping who? Coping with stress, one day at a time! 🚪</t>
  </si>
  <si>
    <t>Knock knock! Who's there? Ivan. Ivan who? Ivan appointment and I'm feeling better already! 🚪</t>
  </si>
  <si>
    <t>How many CBT therapists to change a lightbulb? One, but they'll challenge your thoughts about darkness! 💡</t>
  </si>
  <si>
    <t>How many family therapists? The whole family - but first, let's discuss the lightbulb's childhood! 💡</t>
  </si>
  <si>
    <t>Riddle: What grows stronger when you share it? Your coping skills! 🧩</t>
  </si>
  <si>
    <t>Riddle: What's invisible but you work on it every session? Emotional well-being! 🧩</t>
  </si>
  <si>
    <t>Riddle: What gets lighter the more you talk about it? Your emotional baggage! 🧩</t>
  </si>
  <si>
    <t>How many group therapists does it take to change a lightbulb? Six - one to change it while five provide feedback! 💡</t>
  </si>
  <si>
    <t>Non-billable 30 min</t>
  </si>
  <si>
    <t>Non-billable 60 min</t>
  </si>
  <si>
    <t>TODAY IS:</t>
  </si>
  <si>
    <t>Month List</t>
  </si>
  <si>
    <t>Start Day</t>
  </si>
  <si>
    <t>Days</t>
  </si>
  <si>
    <t>Week1</t>
  </si>
  <si>
    <t>Week2</t>
  </si>
  <si>
    <t>Week3</t>
  </si>
  <si>
    <t>Week4</t>
  </si>
  <si>
    <t>Week5</t>
  </si>
  <si>
    <t>Week6</t>
  </si>
  <si>
    <t xml:space="preserve">       S    M    T    W    T    F    S</t>
  </si>
  <si>
    <t xml:space="preserve">            1    2    3    4    5    6</t>
  </si>
  <si>
    <t xml:space="preserve">                      1    2    3    4</t>
  </si>
  <si>
    <t xml:space="preserve">       5    6    7    8    9   10   11</t>
  </si>
  <si>
    <t xml:space="preserve">      12   13   14   15   16   17   18</t>
  </si>
  <si>
    <t xml:space="preserve">      19   20   21   22   23   24   25</t>
  </si>
  <si>
    <t xml:space="preserve">      26   27   28   29   30   31</t>
  </si>
  <si>
    <t xml:space="preserve">       7    8    9   10   11   12   13</t>
  </si>
  <si>
    <t xml:space="preserve">       2    3    4    5    6    7    8</t>
  </si>
  <si>
    <t xml:space="preserve">       9   10   11   12   13   14   15</t>
  </si>
  <si>
    <t xml:space="preserve">      16   17   18   19   20   21   22</t>
  </si>
  <si>
    <t xml:space="preserve">      23   24   25   26   27   28   29</t>
  </si>
  <si>
    <t xml:space="preserve">      30   31</t>
  </si>
  <si>
    <t xml:space="preserve">      14   15   16   17   18   19   20</t>
  </si>
  <si>
    <t xml:space="preserve">      21   22   23   24   25   26   27</t>
  </si>
  <si>
    <t xml:space="preserve">                           1    2    3</t>
  </si>
  <si>
    <t xml:space="preserve">      28   29   30</t>
  </si>
  <si>
    <t xml:space="preserve">                                1    2</t>
  </si>
  <si>
    <t xml:space="preserve">       3    4    5    6    7    8    9</t>
  </si>
  <si>
    <t xml:space="preserve">      10   11   12   13   14   15   16</t>
  </si>
  <si>
    <t xml:space="preserve">      17   18   19   20   21   22   23</t>
  </si>
  <si>
    <t xml:space="preserve">      24   25   26   27   28   29   30</t>
  </si>
  <si>
    <t>WEEK 5</t>
  </si>
  <si>
    <t>CLIENT DATA</t>
  </si>
  <si>
    <t>Patient Name:</t>
  </si>
  <si>
    <t xml:space="preserve"> DAILY ENCOURAGEMENT</t>
  </si>
  <si>
    <t>✦ YOUR PATH TO SUCCESS ✦</t>
  </si>
  <si>
    <t xml:space="preserve">                 1    2    3    4    5</t>
  </si>
  <si>
    <t xml:space="preserve">       6    7    8    9   10   11   12</t>
  </si>
  <si>
    <t xml:space="preserve">      13   14   15   16   17   18   19</t>
  </si>
  <si>
    <t xml:space="preserve">      20   21   22   23   24   25   26</t>
  </si>
  <si>
    <t xml:space="preserve">      27   28   29   30</t>
  </si>
  <si>
    <t xml:space="preserve">       4    5    6    7    8    9   10</t>
  </si>
  <si>
    <t xml:space="preserve">      11   12   13   14   15   16   17</t>
  </si>
  <si>
    <t xml:space="preserve">      18   19   20   21   22   23   24</t>
  </si>
  <si>
    <t xml:space="preserve">      25   26   27   28   29   30   31</t>
  </si>
  <si>
    <t xml:space="preserve">       1    2    3    4    5    6    7</t>
  </si>
  <si>
    <t xml:space="preserve">       8    9   10   11   12   13   14</t>
  </si>
  <si>
    <t xml:space="preserve">      15   16   17   18   19   20   21</t>
  </si>
  <si>
    <t xml:space="preserve">      22   23   24   25   26   27   28</t>
  </si>
  <si>
    <t xml:space="preserve">      29   30</t>
  </si>
  <si>
    <t xml:space="preserve">      27   28   29   30   31</t>
  </si>
  <si>
    <t xml:space="preserve">      28   29   30   31</t>
  </si>
  <si>
    <t xml:space="preserve">      25   26   27   28   29   30</t>
  </si>
  <si>
    <t>Spanish interpreter</t>
  </si>
  <si>
    <t>DCS</t>
  </si>
  <si>
    <t>Balance $452</t>
  </si>
  <si>
    <t xml:space="preserve">💡 TIME-SAVING TIPS    </t>
  </si>
  <si>
    <t>⚖️ PROTECT YOUR TIME</t>
  </si>
  <si>
    <t>Credits</t>
  </si>
  <si>
    <t>Session Count</t>
  </si>
  <si>
    <t>Non-Billable Time</t>
  </si>
  <si>
    <t>% Time in Session</t>
  </si>
  <si>
    <t>Return to scheduler</t>
  </si>
  <si>
    <t>Defining Collaborative Service Goals (CSGs)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</si>
</sst>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 d\,\ yy;@"/>
    <numFmt numFmtId="165" formatCode="&quot;$&quot;#,##0.00"/>
    <numFmt numFmtId="166" formatCode="\+0.00;\-0.00;0.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Aptos Light"/>
      <family val="2"/>
    </font>
    <font>
      <sz val="9"/>
      <color theme="1"/>
      <name val="Aptos Light"/>
      <family val="2"/>
    </font>
    <font>
      <sz val="12"/>
      <name val="Aptos Light"/>
      <family val="2"/>
    </font>
    <font>
      <b/>
      <sz val="11"/>
      <color rgb="FFFFFFFF"/>
      <name val="Calibri"/>
      <family val="2"/>
      <scheme val="minor"/>
    </font>
    <font>
      <b/>
      <sz val="11"/>
      <color rgb="FF277173"/>
      <name val="Calibri"/>
      <family val="2"/>
      <scheme val="minor"/>
    </font>
    <font>
      <b/>
      <sz val="14"/>
      <color rgb="FFFFFFFF"/>
      <name val="Aptos Light"/>
      <family val="2"/>
    </font>
    <font>
      <b/>
      <sz val="12"/>
      <color rgb="FF277173"/>
      <name val="Aptos Light"/>
      <family val="2"/>
    </font>
    <font>
      <b/>
      <sz val="12"/>
      <color rgb="FFFFFFFF"/>
      <name val="Calibri"/>
      <family val="2"/>
      <scheme val="minor"/>
    </font>
    <font>
      <sz val="11"/>
      <color rgb="FF277173"/>
      <name val="Calibri"/>
      <family val="2"/>
      <scheme val="minor"/>
    </font>
    <font>
      <b/>
      <sz val="14"/>
      <color rgb="FFFFFFFF"/>
      <name val="Calibri"/>
      <family val="2"/>
    </font>
    <font>
      <sz val="11"/>
      <color rgb="FF215967"/>
      <name val="Calibri"/>
      <family val="2"/>
      <scheme val="minor"/>
    </font>
    <font>
      <b/>
      <sz val="11"/>
      <color rgb="FF21596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15967"/>
      <name val="Aptos Light"/>
      <family val="2"/>
    </font>
    <font>
      <sz val="11"/>
      <color rgb="FF215967"/>
      <name val="Calibri"/>
      <family val="2"/>
    </font>
    <font>
      <b/>
      <sz val="11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theme="1" tint="0.14999847407452621"/>
      <name val="Aptos Light"/>
      <family val="2"/>
    </font>
    <font>
      <b/>
      <sz val="11"/>
      <color rgb="FFFF0000"/>
      <name val="Aptos Light"/>
      <family val="2"/>
    </font>
    <font>
      <u/>
      <sz val="11"/>
      <color theme="10"/>
      <name val="Calibri"/>
      <family val="2"/>
      <scheme val="minor"/>
    </font>
    <font>
      <i/>
      <sz val="9"/>
      <color rgb="FF1B2A4A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4"/>
      <color rgb="FF215967"/>
      <name val="Calibri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sz val="12"/>
      <color theme="1"/>
      <name val="Symbol"/>
      <charset val="2"/>
    </font>
    <font>
      <sz val="10"/>
      <color theme="1"/>
      <name val="Aptos"/>
    </font>
    <font>
      <b/>
      <sz val="14"/>
      <color rgb="FF215967"/>
      <name val="Aptos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1"/>
    </font>
    <font>
      <b/>
      <sz val="9"/>
      <color rgb="FFFFFFFF"/>
      <name val="Courier New"/>
      <family val="1"/>
    </font>
    <font>
      <sz val="9"/>
      <color theme="1"/>
      <name val="Courier New"/>
      <family val="1"/>
    </font>
    <font>
      <sz val="9"/>
      <color rgb="FF215967"/>
      <name val="Courier New"/>
      <family val="1"/>
    </font>
    <font>
      <sz val="8"/>
      <color theme="1"/>
      <name val="Calibri"/>
      <family val="2"/>
      <scheme val="minor"/>
    </font>
    <font>
      <b/>
      <sz val="12"/>
      <color rgb="FF215967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8"/>
      <color rgb="FFFFFFFF"/>
      <name val="Bradley Hand ITC"/>
      <family val="4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215967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 style="thick">
        <color rgb="FF215967"/>
      </left>
      <right/>
      <top style="thick">
        <color rgb="FF215967"/>
      </top>
      <bottom style="thick">
        <color rgb="FF215967"/>
      </bottom>
      <diagonal/>
    </border>
    <border>
      <left style="thick">
        <color rgb="FF215967"/>
      </left>
      <right style="thin">
        <color rgb="FF8FBFC9"/>
      </right>
      <top style="thin">
        <color rgb="FF8FBFC9"/>
      </top>
      <bottom style="thin">
        <color rgb="FF8FBFC9"/>
      </bottom>
      <diagonal/>
    </border>
    <border>
      <left style="thin">
        <color rgb="FF8FBFC9"/>
      </left>
      <right style="thin">
        <color rgb="FF8FBFC9"/>
      </right>
      <top style="thin">
        <color rgb="FF8FBFC9"/>
      </top>
      <bottom style="thin">
        <color rgb="FF8FBFC9"/>
      </bottom>
      <diagonal/>
    </border>
    <border>
      <left style="thin">
        <color rgb="FF8FBFC9"/>
      </left>
      <right style="thick">
        <color rgb="FF215967"/>
      </right>
      <top style="thin">
        <color rgb="FF8FBFC9"/>
      </top>
      <bottom style="thin">
        <color rgb="FF8FBFC9"/>
      </bottom>
      <diagonal/>
    </border>
    <border>
      <left style="thick">
        <color rgb="FF215967"/>
      </left>
      <right style="thin">
        <color rgb="FF8FBFC9"/>
      </right>
      <top style="thin">
        <color rgb="FF8FBFC9"/>
      </top>
      <bottom style="thick">
        <color rgb="FF215967"/>
      </bottom>
      <diagonal/>
    </border>
    <border>
      <left style="thin">
        <color rgb="FF8FBFC9"/>
      </left>
      <right style="thin">
        <color rgb="FF8FBFC9"/>
      </right>
      <top style="thin">
        <color rgb="FF8FBFC9"/>
      </top>
      <bottom style="thick">
        <color rgb="FF215967"/>
      </bottom>
      <diagonal/>
    </border>
    <border>
      <left style="thin">
        <color rgb="FF8FBFC9"/>
      </left>
      <right style="thick">
        <color rgb="FF215967"/>
      </right>
      <top style="thin">
        <color rgb="FF8FBFC9"/>
      </top>
      <bottom style="thick">
        <color rgb="FF215967"/>
      </bottom>
      <diagonal/>
    </border>
    <border>
      <left style="thick">
        <color rgb="FF215967"/>
      </left>
      <right/>
      <top style="thick">
        <color rgb="FF215967"/>
      </top>
      <bottom style="thin">
        <color rgb="FF215967"/>
      </bottom>
      <diagonal/>
    </border>
    <border>
      <left style="thick">
        <color rgb="FF215967"/>
      </left>
      <right/>
      <top/>
      <bottom/>
      <diagonal/>
    </border>
    <border>
      <left/>
      <right style="thick">
        <color rgb="FF215967"/>
      </right>
      <top/>
      <bottom/>
      <diagonal/>
    </border>
    <border>
      <left/>
      <right/>
      <top style="thick">
        <color rgb="FF215967"/>
      </top>
      <bottom/>
      <diagonal/>
    </border>
    <border>
      <left/>
      <right/>
      <top style="thick">
        <color rgb="FF215967"/>
      </top>
      <bottom style="thick">
        <color rgb="FF215967"/>
      </bottom>
      <diagonal/>
    </border>
    <border>
      <left/>
      <right/>
      <top/>
      <bottom style="thick">
        <color rgb="FF215967"/>
      </bottom>
      <diagonal/>
    </border>
    <border>
      <left style="thick">
        <color rgb="FF215967"/>
      </left>
      <right/>
      <top style="thick">
        <color rgb="FF215967"/>
      </top>
      <bottom/>
      <diagonal/>
    </border>
    <border>
      <left style="thick">
        <color rgb="FF215967"/>
      </left>
      <right/>
      <top/>
      <bottom style="thick">
        <color rgb="FF215967"/>
      </bottom>
      <diagonal/>
    </border>
    <border>
      <left/>
      <right style="thick">
        <color rgb="FF215967"/>
      </right>
      <top style="thick">
        <color rgb="FF215967"/>
      </top>
      <bottom/>
      <diagonal/>
    </border>
    <border>
      <left/>
      <right style="thick">
        <color rgb="FF215967"/>
      </right>
      <top/>
      <bottom style="thick">
        <color rgb="FF215967"/>
      </bottom>
      <diagonal/>
    </border>
    <border>
      <left style="thick">
        <color rgb="FF215967"/>
      </left>
      <right style="thin">
        <color rgb="FF8FBFC9"/>
      </right>
      <top style="thick">
        <color rgb="FF215967"/>
      </top>
      <bottom/>
      <diagonal/>
    </border>
    <border>
      <left style="thin">
        <color rgb="FF8FBFC9"/>
      </left>
      <right style="thin">
        <color rgb="FF8FBFC9"/>
      </right>
      <top style="thick">
        <color rgb="FF215967"/>
      </top>
      <bottom/>
      <diagonal/>
    </border>
    <border>
      <left style="thin">
        <color rgb="FF8FBFC9"/>
      </left>
      <right style="thick">
        <color rgb="FF215967"/>
      </right>
      <top style="thick">
        <color rgb="FF215967"/>
      </top>
      <bottom/>
      <diagonal/>
    </border>
    <border>
      <left style="thick">
        <color rgb="FF215967"/>
      </left>
      <right/>
      <top style="thin">
        <color rgb="FF215967"/>
      </top>
      <bottom style="thin">
        <color rgb="FF8FBFC9"/>
      </bottom>
      <diagonal/>
    </border>
    <border>
      <left style="thin">
        <color rgb="FF8FBFC9"/>
      </left>
      <right style="thin">
        <color rgb="FF8FBFC9"/>
      </right>
      <top/>
      <bottom style="thin">
        <color rgb="FF8FBFC9"/>
      </bottom>
      <diagonal/>
    </border>
    <border>
      <left style="thin">
        <color rgb="FF8FBFC9"/>
      </left>
      <right style="thick">
        <color rgb="FF215967"/>
      </right>
      <top/>
      <bottom style="thin">
        <color rgb="FF8FBFC9"/>
      </bottom>
      <diagonal/>
    </border>
    <border>
      <left style="thick">
        <color rgb="FF215967"/>
      </left>
      <right style="medium">
        <color indexed="64"/>
      </right>
      <top style="medium">
        <color indexed="64"/>
      </top>
      <bottom/>
      <diagonal/>
    </border>
    <border>
      <left style="thick">
        <color rgb="FF215967"/>
      </left>
      <right style="medium">
        <color indexed="64"/>
      </right>
      <top/>
      <bottom/>
      <diagonal/>
    </border>
    <border>
      <left style="thick">
        <color rgb="FF215967"/>
      </left>
      <right style="medium">
        <color indexed="64"/>
      </right>
      <top/>
      <bottom style="thick">
        <color rgb="FF215967"/>
      </bottom>
      <diagonal/>
    </border>
    <border>
      <left/>
      <right style="thick">
        <color rgb="FF215967"/>
      </right>
      <top style="thick">
        <color rgb="FF215967"/>
      </top>
      <bottom style="thick">
        <color rgb="FF215967"/>
      </bottom>
      <diagonal/>
    </border>
    <border>
      <left style="thick">
        <color rgb="FF215967"/>
      </left>
      <right/>
      <top style="thin">
        <color rgb="FF8FBFC9"/>
      </top>
      <bottom style="thin">
        <color rgb="FF8FBFC9"/>
      </bottom>
      <diagonal/>
    </border>
    <border>
      <left/>
      <right/>
      <top style="thin">
        <color rgb="FF8FBFC9"/>
      </top>
      <bottom/>
      <diagonal/>
    </border>
    <border>
      <left style="medium">
        <color rgb="FF215967"/>
      </left>
      <right/>
      <top style="medium">
        <color rgb="FF215967"/>
      </top>
      <bottom style="thin">
        <color rgb="FF8FBFC9"/>
      </bottom>
      <diagonal/>
    </border>
    <border>
      <left/>
      <right/>
      <top style="medium">
        <color rgb="FF215967"/>
      </top>
      <bottom style="thin">
        <color rgb="FF8FBFC9"/>
      </bottom>
      <diagonal/>
    </border>
    <border>
      <left/>
      <right style="medium">
        <color rgb="FF215967"/>
      </right>
      <top style="medium">
        <color rgb="FF215967"/>
      </top>
      <bottom style="thin">
        <color rgb="FF8FBFC9"/>
      </bottom>
      <diagonal/>
    </border>
    <border>
      <left style="medium">
        <color rgb="FF215967"/>
      </left>
      <right style="thin">
        <color rgb="FF8FBFC9"/>
      </right>
      <top style="thin">
        <color rgb="FF8FBFC9"/>
      </top>
      <bottom style="thin">
        <color rgb="FF8FBFC9"/>
      </bottom>
      <diagonal/>
    </border>
    <border>
      <left style="thin">
        <color rgb="FF8FBFC9"/>
      </left>
      <right style="medium">
        <color rgb="FF215967"/>
      </right>
      <top style="thin">
        <color rgb="FF8FBFC9"/>
      </top>
      <bottom style="thin">
        <color rgb="FF8FBFC9"/>
      </bottom>
      <diagonal/>
    </border>
    <border>
      <left style="medium">
        <color rgb="FF215967"/>
      </left>
      <right style="thin">
        <color rgb="FF8FBFC9"/>
      </right>
      <top style="thin">
        <color rgb="FF8FBFC9"/>
      </top>
      <bottom style="medium">
        <color rgb="FF215967"/>
      </bottom>
      <diagonal/>
    </border>
    <border>
      <left style="thin">
        <color rgb="FF8FBFC9"/>
      </left>
      <right style="thin">
        <color rgb="FF8FBFC9"/>
      </right>
      <top style="thin">
        <color rgb="FF8FBFC9"/>
      </top>
      <bottom style="medium">
        <color rgb="FF215967"/>
      </bottom>
      <diagonal/>
    </border>
    <border>
      <left style="thin">
        <color rgb="FF8FBFC9"/>
      </left>
      <right style="medium">
        <color rgb="FF215967"/>
      </right>
      <top style="thin">
        <color rgb="FF8FBFC9"/>
      </top>
      <bottom style="medium">
        <color rgb="FF215967"/>
      </bottom>
      <diagonal/>
    </border>
    <border>
      <left style="thick">
        <color rgb="FF215967"/>
      </left>
      <right/>
      <top style="thin">
        <color rgb="FF8FBFC9"/>
      </top>
      <bottom/>
      <diagonal/>
    </border>
    <border>
      <left/>
      <right style="thick">
        <color rgb="FF215967"/>
      </right>
      <top style="thin">
        <color rgb="FF8FBFC9"/>
      </top>
      <bottom/>
      <diagonal/>
    </border>
    <border>
      <left style="thick">
        <color rgb="FF215967"/>
      </left>
      <right/>
      <top style="thick">
        <color rgb="FF215967"/>
      </top>
      <bottom style="thick">
        <color rgb="FF008080"/>
      </bottom>
      <diagonal/>
    </border>
    <border>
      <left/>
      <right/>
      <top style="thick">
        <color rgb="FF215967"/>
      </top>
      <bottom style="thick">
        <color rgb="FF008080"/>
      </bottom>
      <diagonal/>
    </border>
    <border>
      <left/>
      <right style="thick">
        <color rgb="FF215967"/>
      </right>
      <top style="thick">
        <color rgb="FF215967"/>
      </top>
      <bottom style="thick">
        <color rgb="FF008080"/>
      </bottom>
      <diagonal/>
    </border>
    <border>
      <left style="thick">
        <color rgb="FF215967"/>
      </left>
      <right/>
      <top style="thick">
        <color rgb="FF215967"/>
      </top>
      <bottom style="thin">
        <color rgb="FF8FBFC9"/>
      </bottom>
      <diagonal/>
    </border>
    <border>
      <left style="thick">
        <color rgb="FF215967"/>
      </left>
      <right/>
      <top style="thin">
        <color rgb="FF8FBFC9"/>
      </top>
      <bottom style="thick">
        <color rgb="FF008080"/>
      </bottom>
      <diagonal/>
    </border>
    <border>
      <left style="thin">
        <color rgb="FF8FBFC9"/>
      </left>
      <right/>
      <top style="thick">
        <color rgb="FF215967"/>
      </top>
      <bottom/>
      <diagonal/>
    </border>
    <border>
      <left style="thin">
        <color rgb="FF8FBFC9"/>
      </left>
      <right/>
      <top/>
      <bottom/>
      <diagonal/>
    </border>
    <border>
      <left style="thin">
        <color rgb="FF8FBFC9"/>
      </left>
      <right/>
      <top/>
      <bottom style="thick">
        <color rgb="FF008080"/>
      </bottom>
      <diagonal/>
    </border>
    <border>
      <left/>
      <right/>
      <top/>
      <bottom style="thick">
        <color rgb="FF008080"/>
      </bottom>
      <diagonal/>
    </border>
    <border>
      <left/>
      <right style="thick">
        <color rgb="FF215967"/>
      </right>
      <top/>
      <bottom style="thick">
        <color rgb="FF008080"/>
      </bottom>
      <diagonal/>
    </border>
    <border>
      <left/>
      <right style="thin">
        <color rgb="FF8FBFC9"/>
      </right>
      <top style="thick">
        <color rgb="FF215967"/>
      </top>
      <bottom/>
      <diagonal/>
    </border>
    <border>
      <left/>
      <right style="thin">
        <color rgb="FF8FBFC9"/>
      </right>
      <top/>
      <bottom/>
      <diagonal/>
    </border>
    <border>
      <left/>
      <right style="thin">
        <color rgb="FF8FBFC9"/>
      </right>
      <top/>
      <bottom style="thick">
        <color rgb="FF008080"/>
      </bottom>
      <diagonal/>
    </border>
    <border>
      <left style="thick">
        <color rgb="FF215967"/>
      </left>
      <right style="thick">
        <color rgb="FF215967"/>
      </right>
      <top/>
      <bottom/>
      <diagonal/>
    </border>
    <border>
      <left style="medium">
        <color rgb="FF215967"/>
      </left>
      <right/>
      <top style="medium">
        <color rgb="FF215967"/>
      </top>
      <bottom style="medium">
        <color rgb="FF215967"/>
      </bottom>
      <diagonal/>
    </border>
    <border>
      <left/>
      <right/>
      <top style="medium">
        <color rgb="FF215967"/>
      </top>
      <bottom style="medium">
        <color rgb="FF215967"/>
      </bottom>
      <diagonal/>
    </border>
    <border>
      <left/>
      <right style="medium">
        <color rgb="FF215967"/>
      </right>
      <top style="medium">
        <color rgb="FF215967"/>
      </top>
      <bottom style="medium">
        <color rgb="FF215967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71">
    <xf numFmtId="0" fontId="0" fillId="0" borderId="0" xfId="0"/>
    <xf numFmtId="0" fontId="1" fillId="0" borderId="0" xfId="0" applyFont="1" applyAlignment="1">
      <alignment vertical="center"/>
    </xf>
    <xf numFmtId="0" fontId="0" fillId="5" borderId="0" xfId="0" applyFill="1"/>
    <xf numFmtId="0" fontId="0" fillId="2" borderId="0" xfId="0" applyFill="1"/>
    <xf numFmtId="0" fontId="1" fillId="6" borderId="0" xfId="0" applyFont="1" applyFill="1" applyAlignment="1">
      <alignment vertical="center"/>
    </xf>
    <xf numFmtId="0" fontId="1" fillId="6" borderId="0" xfId="0" applyFont="1" applyFill="1"/>
    <xf numFmtId="0" fontId="1" fillId="6" borderId="0" xfId="0" quotePrefix="1" applyFont="1" applyFill="1" applyAlignment="1">
      <alignment horizontal="center" vertical="center"/>
    </xf>
    <xf numFmtId="164" fontId="1" fillId="6" borderId="0" xfId="0" applyNumberFormat="1" applyFont="1" applyFill="1" applyAlignment="1" applyProtection="1">
      <alignment horizontal="left" vertical="center" indent="1"/>
      <protection locked="0"/>
    </xf>
    <xf numFmtId="49" fontId="1" fillId="6" borderId="0" xfId="0" applyNumberFormat="1" applyFont="1" applyFill="1" applyAlignment="1">
      <alignment horizontal="center" vertical="center"/>
    </xf>
    <xf numFmtId="0" fontId="0" fillId="6" borderId="0" xfId="0" applyFill="1" applyProtection="1">
      <protection locked="0"/>
    </xf>
    <xf numFmtId="0" fontId="0" fillId="6" borderId="10" xfId="0" applyFill="1" applyBorder="1" applyProtection="1">
      <protection locked="0"/>
    </xf>
    <xf numFmtId="0" fontId="2" fillId="6" borderId="0" xfId="0" applyFont="1" applyFill="1" applyProtection="1">
      <protection locked="0"/>
    </xf>
    <xf numFmtId="0" fontId="2" fillId="6" borderId="0" xfId="0" applyFont="1" applyFill="1" applyAlignment="1" applyProtection="1">
      <alignment vertical="center"/>
      <protection locked="0"/>
    </xf>
    <xf numFmtId="0" fontId="1" fillId="6" borderId="0" xfId="0" applyFont="1" applyFill="1" applyProtection="1">
      <protection locked="0"/>
    </xf>
    <xf numFmtId="0" fontId="0" fillId="6" borderId="0" xfId="0" applyFill="1"/>
    <xf numFmtId="0" fontId="8" fillId="4" borderId="2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18" fontId="15" fillId="5" borderId="2" xfId="0" applyNumberFormat="1" applyFont="1" applyFill="1" applyBorder="1" applyAlignment="1">
      <alignment horizontal="center" vertical="top"/>
    </xf>
    <xf numFmtId="0" fontId="5" fillId="5" borderId="24" xfId="0" applyFont="1" applyFill="1" applyBorder="1"/>
    <xf numFmtId="0" fontId="9" fillId="5" borderId="25" xfId="0" applyFont="1" applyFill="1" applyBorder="1"/>
    <xf numFmtId="0" fontId="0" fillId="5" borderId="25" xfId="0" applyFill="1" applyBorder="1"/>
    <xf numFmtId="0" fontId="0" fillId="5" borderId="26" xfId="0" applyFill="1" applyBorder="1"/>
    <xf numFmtId="0" fontId="0" fillId="6" borderId="9" xfId="0" applyFill="1" applyBorder="1"/>
    <xf numFmtId="18" fontId="11" fillId="5" borderId="2" xfId="0" applyNumberFormat="1" applyFont="1" applyFill="1" applyBorder="1" applyAlignment="1">
      <alignment horizontal="center"/>
    </xf>
    <xf numFmtId="0" fontId="11" fillId="5" borderId="9" xfId="0" applyFont="1" applyFill="1" applyBorder="1"/>
    <xf numFmtId="165" fontId="0" fillId="6" borderId="0" xfId="0" applyNumberFormat="1" applyFill="1"/>
    <xf numFmtId="10" fontId="13" fillId="6" borderId="10" xfId="0" applyNumberFormat="1" applyFont="1" applyFill="1" applyBorder="1"/>
    <xf numFmtId="165" fontId="13" fillId="6" borderId="10" xfId="0" applyNumberFormat="1" applyFont="1" applyFill="1" applyBorder="1"/>
    <xf numFmtId="18" fontId="11" fillId="5" borderId="5" xfId="0" applyNumberFormat="1" applyFont="1" applyFill="1" applyBorder="1" applyAlignment="1">
      <alignment horizontal="center"/>
    </xf>
    <xf numFmtId="49" fontId="14" fillId="5" borderId="3" xfId="0" applyNumberFormat="1" applyFont="1" applyFill="1" applyBorder="1" applyAlignment="1">
      <alignment horizontal="center" vertical="center"/>
    </xf>
    <xf numFmtId="49" fontId="14" fillId="5" borderId="3" xfId="0" applyNumberFormat="1" applyFont="1" applyFill="1" applyBorder="1" applyAlignment="1">
      <alignment horizontal="center" vertical="center" wrapText="1"/>
    </xf>
    <xf numFmtId="0" fontId="7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12" fillId="5" borderId="9" xfId="0" applyFont="1" applyFill="1" applyBorder="1" applyAlignment="1">
      <alignment horizontal="left"/>
    </xf>
    <xf numFmtId="0" fontId="12" fillId="2" borderId="0" xfId="0" applyFont="1" applyFill="1" applyAlignment="1">
      <alignment horizontal="center"/>
    </xf>
    <xf numFmtId="14" fontId="11" fillId="2" borderId="10" xfId="0" applyNumberFormat="1" applyFont="1" applyFill="1" applyBorder="1" applyAlignment="1">
      <alignment horizontal="center"/>
    </xf>
    <xf numFmtId="0" fontId="12" fillId="5" borderId="15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2" fillId="6" borderId="29" xfId="0" applyFont="1" applyFill="1" applyBorder="1" applyAlignment="1">
      <alignment horizontal="left" vertical="center"/>
    </xf>
    <xf numFmtId="0" fontId="0" fillId="6" borderId="29" xfId="0" quotePrefix="1" applyFill="1" applyBorder="1" applyProtection="1">
      <protection locked="0"/>
    </xf>
    <xf numFmtId="0" fontId="0" fillId="6" borderId="29" xfId="0" applyFill="1" applyBorder="1" applyProtection="1">
      <protection locked="0"/>
    </xf>
    <xf numFmtId="0" fontId="13" fillId="6" borderId="0" xfId="0" applyFont="1" applyFill="1"/>
    <xf numFmtId="0" fontId="14" fillId="5" borderId="33" xfId="0" applyFont="1" applyFill="1" applyBorder="1" applyAlignment="1">
      <alignment horizontal="center" vertical="center"/>
    </xf>
    <xf numFmtId="49" fontId="14" fillId="5" borderId="34" xfId="0" applyNumberFormat="1" applyFont="1" applyFill="1" applyBorder="1" applyAlignment="1">
      <alignment horizontal="center" vertical="center"/>
    </xf>
    <xf numFmtId="0" fontId="19" fillId="6" borderId="33" xfId="0" applyFont="1" applyFill="1" applyBorder="1" applyAlignment="1" applyProtection="1">
      <alignment horizontal="left" vertical="top"/>
      <protection locked="0"/>
    </xf>
    <xf numFmtId="14" fontId="1" fillId="0" borderId="3" xfId="0" applyNumberFormat="1" applyFont="1" applyBorder="1" applyAlignment="1" applyProtection="1">
      <alignment horizontal="left"/>
      <protection locked="0"/>
    </xf>
    <xf numFmtId="14" fontId="1" fillId="6" borderId="3" xfId="0" applyNumberFormat="1" applyFont="1" applyFill="1" applyBorder="1" applyAlignment="1" applyProtection="1">
      <alignment horizontal="center"/>
      <protection locked="0"/>
    </xf>
    <xf numFmtId="0" fontId="1" fillId="6" borderId="34" xfId="0" applyFont="1" applyFill="1" applyBorder="1" applyAlignment="1" applyProtection="1">
      <alignment horizontal="right"/>
      <protection locked="0"/>
    </xf>
    <xf numFmtId="0" fontId="1" fillId="6" borderId="34" xfId="0" applyFont="1" applyFill="1" applyBorder="1" applyProtection="1">
      <protection locked="0"/>
    </xf>
    <xf numFmtId="0" fontId="20" fillId="6" borderId="35" xfId="0" applyFont="1" applyFill="1" applyBorder="1" applyAlignment="1" applyProtection="1">
      <alignment horizontal="left" vertical="center"/>
      <protection locked="0"/>
    </xf>
    <xf numFmtId="14" fontId="1" fillId="0" borderId="36" xfId="0" applyNumberFormat="1" applyFont="1" applyBorder="1" applyAlignment="1" applyProtection="1">
      <alignment horizontal="left"/>
      <protection locked="0"/>
    </xf>
    <xf numFmtId="14" fontId="1" fillId="6" borderId="36" xfId="0" applyNumberFormat="1" applyFont="1" applyFill="1" applyBorder="1" applyAlignment="1" applyProtection="1">
      <alignment horizontal="center"/>
      <protection locked="0"/>
    </xf>
    <xf numFmtId="0" fontId="1" fillId="6" borderId="37" xfId="0" applyFont="1" applyFill="1" applyBorder="1" applyAlignment="1" applyProtection="1">
      <alignment horizontal="right"/>
      <protection locked="0"/>
    </xf>
    <xf numFmtId="0" fontId="12" fillId="2" borderId="10" xfId="0" quotePrefix="1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12" fillId="6" borderId="0" xfId="0" applyFont="1" applyFill="1"/>
    <xf numFmtId="0" fontId="11" fillId="5" borderId="40" xfId="0" applyFont="1" applyFill="1" applyBorder="1"/>
    <xf numFmtId="165" fontId="0" fillId="6" borderId="41" xfId="0" applyNumberFormat="1" applyFill="1" applyBorder="1"/>
    <xf numFmtId="165" fontId="13" fillId="6" borderId="42" xfId="0" applyNumberFormat="1" applyFont="1" applyFill="1" applyBorder="1"/>
    <xf numFmtId="0" fontId="12" fillId="5" borderId="43" xfId="0" applyFont="1" applyFill="1" applyBorder="1"/>
    <xf numFmtId="0" fontId="12" fillId="5" borderId="28" xfId="0" applyFont="1" applyFill="1" applyBorder="1"/>
    <xf numFmtId="0" fontId="5" fillId="5" borderId="28" xfId="0" applyFont="1" applyFill="1" applyBorder="1"/>
    <xf numFmtId="0" fontId="12" fillId="5" borderId="38" xfId="0" applyFont="1" applyFill="1" applyBorder="1"/>
    <xf numFmtId="0" fontId="12" fillId="5" borderId="44" xfId="0" applyFont="1" applyFill="1" applyBorder="1"/>
    <xf numFmtId="0" fontId="0" fillId="6" borderId="49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0" fontId="0" fillId="6" borderId="52" xfId="0" applyFill="1" applyBorder="1" applyAlignment="1">
      <alignment horizontal="center"/>
    </xf>
    <xf numFmtId="0" fontId="13" fillId="6" borderId="45" xfId="0" applyFont="1" applyFill="1" applyBorder="1" applyAlignment="1">
      <alignment horizontal="right"/>
    </xf>
    <xf numFmtId="2" fontId="13" fillId="6" borderId="46" xfId="0" applyNumberFormat="1" applyFont="1" applyFill="1" applyBorder="1" applyAlignment="1">
      <alignment horizontal="right"/>
    </xf>
    <xf numFmtId="166" fontId="13" fillId="6" borderId="46" xfId="0" applyNumberFormat="1" applyFont="1" applyFill="1" applyBorder="1" applyAlignment="1" applyProtection="1">
      <alignment horizontal="right"/>
      <protection locked="0"/>
    </xf>
    <xf numFmtId="1" fontId="13" fillId="6" borderId="46" xfId="0" applyNumberFormat="1" applyFont="1" applyFill="1" applyBorder="1" applyAlignment="1">
      <alignment horizontal="right"/>
    </xf>
    <xf numFmtId="0" fontId="13" fillId="6" borderId="46" xfId="0" applyFont="1" applyFill="1" applyBorder="1" applyAlignment="1">
      <alignment horizontal="right"/>
    </xf>
    <xf numFmtId="9" fontId="13" fillId="6" borderId="47" xfId="0" applyNumberFormat="1" applyFont="1" applyFill="1" applyBorder="1" applyAlignment="1">
      <alignment horizontal="right"/>
    </xf>
    <xf numFmtId="0" fontId="13" fillId="6" borderId="11" xfId="0" applyFont="1" applyFill="1" applyBorder="1" applyAlignment="1">
      <alignment horizontal="right"/>
    </xf>
    <xf numFmtId="2" fontId="13" fillId="6" borderId="0" xfId="0" applyNumberFormat="1" applyFont="1" applyFill="1" applyAlignment="1">
      <alignment horizontal="right"/>
    </xf>
    <xf numFmtId="166" fontId="13" fillId="6" borderId="0" xfId="0" applyNumberFormat="1" applyFont="1" applyFill="1" applyAlignment="1" applyProtection="1">
      <alignment horizontal="right"/>
      <protection locked="0"/>
    </xf>
    <xf numFmtId="1" fontId="13" fillId="6" borderId="0" xfId="0" applyNumberFormat="1" applyFont="1" applyFill="1" applyAlignment="1">
      <alignment horizontal="right"/>
    </xf>
    <xf numFmtId="0" fontId="13" fillId="6" borderId="0" xfId="0" applyFont="1" applyFill="1" applyAlignment="1">
      <alignment horizontal="right"/>
    </xf>
    <xf numFmtId="9" fontId="13" fillId="6" borderId="48" xfId="0" applyNumberFormat="1" applyFont="1" applyFill="1" applyBorder="1" applyAlignment="1">
      <alignment horizontal="right"/>
    </xf>
    <xf numFmtId="0" fontId="22" fillId="6" borderId="22" xfId="0" applyFont="1" applyFill="1" applyBorder="1" applyAlignment="1" applyProtection="1">
      <alignment horizontal="left" vertical="top" wrapText="1"/>
      <protection locked="0"/>
    </xf>
    <xf numFmtId="0" fontId="22" fillId="6" borderId="23" xfId="0" applyFont="1" applyFill="1" applyBorder="1" applyAlignment="1" applyProtection="1">
      <alignment horizontal="left" vertical="top" wrapText="1"/>
      <protection locked="0"/>
    </xf>
    <xf numFmtId="0" fontId="22" fillId="6" borderId="3" xfId="0" applyFont="1" applyFill="1" applyBorder="1" applyAlignment="1" applyProtection="1">
      <alignment horizontal="left" vertical="top" wrapText="1"/>
      <protection locked="0"/>
    </xf>
    <xf numFmtId="0" fontId="22" fillId="6" borderId="4" xfId="0" applyFont="1" applyFill="1" applyBorder="1" applyAlignment="1" applyProtection="1">
      <alignment horizontal="left" vertical="top" wrapText="1"/>
      <protection locked="0"/>
    </xf>
    <xf numFmtId="0" fontId="23" fillId="6" borderId="3" xfId="0" applyFont="1" applyFill="1" applyBorder="1" applyProtection="1">
      <protection locked="0"/>
    </xf>
    <xf numFmtId="0" fontId="23" fillId="6" borderId="4" xfId="0" applyFont="1" applyFill="1" applyBorder="1" applyProtection="1">
      <protection locked="0"/>
    </xf>
    <xf numFmtId="0" fontId="23" fillId="6" borderId="6" xfId="0" applyFont="1" applyFill="1" applyBorder="1" applyProtection="1">
      <protection locked="0"/>
    </xf>
    <xf numFmtId="0" fontId="23" fillId="6" borderId="7" xfId="0" applyFont="1" applyFill="1" applyBorder="1" applyProtection="1">
      <protection locked="0"/>
    </xf>
    <xf numFmtId="0" fontId="21" fillId="2" borderId="0" xfId="1" applyFill="1"/>
    <xf numFmtId="0" fontId="25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25" fillId="2" borderId="0" xfId="0" applyFont="1" applyFill="1" applyAlignment="1">
      <alignment horizontal="left" vertical="center" indent="6"/>
    </xf>
    <xf numFmtId="0" fontId="27" fillId="2" borderId="0" xfId="0" applyFont="1" applyFill="1" applyAlignment="1">
      <alignment horizontal="left" vertical="center" indent="12"/>
    </xf>
    <xf numFmtId="0" fontId="11" fillId="2" borderId="0" xfId="0" applyFont="1" applyFill="1"/>
    <xf numFmtId="0" fontId="28" fillId="2" borderId="0" xfId="0" applyFont="1" applyFill="1" applyAlignment="1">
      <alignment vertical="center"/>
    </xf>
    <xf numFmtId="0" fontId="29" fillId="2" borderId="0" xfId="0" applyFont="1" applyFill="1" applyAlignment="1">
      <alignment vertical="center"/>
    </xf>
    <xf numFmtId="0" fontId="24" fillId="2" borderId="0" xfId="0" applyFont="1" applyFill="1"/>
    <xf numFmtId="0" fontId="0" fillId="5" borderId="0" xfId="0" applyFill="1" applyAlignment="1">
      <alignment horizontal="left" indent="9"/>
    </xf>
    <xf numFmtId="0" fontId="11" fillId="5" borderId="0" xfId="0" applyFont="1" applyFill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30" fillId="2" borderId="0" xfId="0" applyFont="1" applyFill="1"/>
    <xf numFmtId="0" fontId="31" fillId="2" borderId="0" xfId="0" applyFont="1" applyFill="1"/>
    <xf numFmtId="0" fontId="11" fillId="2" borderId="0" xfId="0" applyFont="1" applyFill="1" applyAlignment="1">
      <alignment horizontal="left" vertical="center" wrapText="1" indent="9"/>
    </xf>
    <xf numFmtId="0" fontId="0" fillId="5" borderId="10" xfId="0" applyFill="1" applyBorder="1"/>
    <xf numFmtId="0" fontId="0" fillId="6" borderId="53" xfId="0" applyFill="1" applyBorder="1"/>
    <xf numFmtId="0" fontId="11" fillId="2" borderId="11" xfId="0" applyFont="1" applyFill="1" applyBorder="1" applyAlignment="1">
      <alignment vertical="center" wrapText="1"/>
    </xf>
    <xf numFmtId="0" fontId="0" fillId="5" borderId="13" xfId="0" applyFill="1" applyBorder="1"/>
    <xf numFmtId="0" fontId="0" fillId="6" borderId="54" xfId="0" applyFill="1" applyBorder="1"/>
    <xf numFmtId="0" fontId="13" fillId="6" borderId="55" xfId="0" applyFont="1" applyFill="1" applyBorder="1" applyAlignment="1">
      <alignment horizontal="right"/>
    </xf>
    <xf numFmtId="0" fontId="13" fillId="6" borderId="56" xfId="0" applyFont="1" applyFill="1" applyBorder="1" applyAlignment="1">
      <alignment horizontal="right"/>
    </xf>
    <xf numFmtId="0" fontId="13" fillId="6" borderId="54" xfId="0" applyFont="1" applyFill="1" applyBorder="1"/>
    <xf numFmtId="0" fontId="13" fillId="6" borderId="55" xfId="0" applyFont="1" applyFill="1" applyBorder="1"/>
    <xf numFmtId="0" fontId="13" fillId="6" borderId="56" xfId="0" applyFont="1" applyFill="1" applyBorder="1"/>
    <xf numFmtId="0" fontId="32" fillId="0" borderId="0" xfId="0" applyFont="1"/>
    <xf numFmtId="17" fontId="32" fillId="0" borderId="0" xfId="0" applyNumberFormat="1" applyFont="1"/>
    <xf numFmtId="49" fontId="32" fillId="0" borderId="0" xfId="0" applyNumberFormat="1" applyFont="1"/>
    <xf numFmtId="0" fontId="35" fillId="5" borderId="9" xfId="0" applyFont="1" applyFill="1" applyBorder="1"/>
    <xf numFmtId="0" fontId="34" fillId="0" borderId="0" xfId="0" applyFont="1"/>
    <xf numFmtId="0" fontId="34" fillId="0" borderId="10" xfId="0" applyFont="1" applyBorder="1"/>
    <xf numFmtId="0" fontId="16" fillId="3" borderId="14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13" fillId="0" borderId="0" xfId="0" applyFont="1" applyAlignment="1" applyProtection="1">
      <alignment horizontal="center"/>
      <protection locked="0"/>
    </xf>
    <xf numFmtId="0" fontId="13" fillId="0" borderId="10" xfId="0" applyFont="1" applyBorder="1" applyAlignment="1" applyProtection="1">
      <alignment horizontal="center"/>
      <protection locked="0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6" xfId="0" applyBorder="1"/>
    <xf numFmtId="0" fontId="17" fillId="4" borderId="13" xfId="0" applyFont="1" applyFill="1" applyBorder="1" applyAlignment="1">
      <alignment horizontal="left" vertical="center"/>
    </xf>
    <xf numFmtId="0" fontId="0" fillId="0" borderId="13" xfId="0" applyBorder="1"/>
    <xf numFmtId="0" fontId="33" fillId="4" borderId="9" xfId="0" applyFont="1" applyFill="1" applyBorder="1" applyAlignment="1">
      <alignment horizontal="center"/>
    </xf>
    <xf numFmtId="0" fontId="35" fillId="5" borderId="38" xfId="0" applyFont="1" applyFill="1" applyBorder="1"/>
    <xf numFmtId="0" fontId="34" fillId="0" borderId="29" xfId="0" applyFont="1" applyBorder="1"/>
    <xf numFmtId="0" fontId="34" fillId="0" borderId="39" xfId="0" applyFont="1" applyBorder="1"/>
    <xf numFmtId="0" fontId="35" fillId="5" borderId="15" xfId="0" applyFont="1" applyFill="1" applyBorder="1" applyAlignment="1">
      <alignment horizontal="left"/>
    </xf>
    <xf numFmtId="0" fontId="34" fillId="0" borderId="13" xfId="0" applyFont="1" applyBorder="1"/>
    <xf numFmtId="0" fontId="34" fillId="0" borderId="17" xfId="0" applyFont="1" applyBorder="1"/>
    <xf numFmtId="0" fontId="18" fillId="4" borderId="14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 wrapText="1"/>
    </xf>
    <xf numFmtId="0" fontId="36" fillId="2" borderId="0" xfId="0" applyFont="1" applyFill="1" applyAlignment="1">
      <alignment horizontal="left" wrapText="1"/>
    </xf>
    <xf numFmtId="0" fontId="36" fillId="2" borderId="10" xfId="0" applyFont="1" applyFill="1" applyBorder="1" applyAlignment="1">
      <alignment horizontal="left" wrapText="1"/>
    </xf>
    <xf numFmtId="0" fontId="36" fillId="2" borderId="13" xfId="0" applyFont="1" applyFill="1" applyBorder="1" applyAlignment="1">
      <alignment horizontal="left" wrapText="1"/>
    </xf>
    <xf numFmtId="0" fontId="36" fillId="2" borderId="17" xfId="0" applyFont="1" applyFill="1" applyBorder="1" applyAlignment="1">
      <alignment horizontal="left" wrapText="1"/>
    </xf>
    <xf numFmtId="0" fontId="37" fillId="5" borderId="9" xfId="0" applyFont="1" applyFill="1" applyBorder="1" applyAlignment="1">
      <alignment horizontal="center" vertical="center" wrapText="1"/>
    </xf>
    <xf numFmtId="0" fontId="37" fillId="5" borderId="0" xfId="0" applyFont="1" applyFill="1" applyAlignment="1">
      <alignment horizontal="center" vertical="center" wrapText="1"/>
    </xf>
    <xf numFmtId="0" fontId="37" fillId="5" borderId="10" xfId="0" applyFont="1" applyFill="1" applyBorder="1" applyAlignment="1">
      <alignment horizontal="center" vertical="center" wrapText="1"/>
    </xf>
    <xf numFmtId="0" fontId="37" fillId="5" borderId="15" xfId="0" applyFont="1" applyFill="1" applyBorder="1" applyAlignment="1">
      <alignment horizontal="center" vertical="center" wrapText="1"/>
    </xf>
    <xf numFmtId="0" fontId="37" fillId="5" borderId="13" xfId="0" applyFont="1" applyFill="1" applyBorder="1" applyAlignment="1">
      <alignment horizontal="center" vertical="center" wrapText="1"/>
    </xf>
    <xf numFmtId="0" fontId="37" fillId="5" borderId="17" xfId="0" applyFont="1" applyFill="1" applyBorder="1" applyAlignment="1">
      <alignment horizontal="center" vertical="center" wrapText="1"/>
    </xf>
    <xf numFmtId="0" fontId="38" fillId="5" borderId="0" xfId="0" applyFont="1" applyFill="1" applyAlignment="1">
      <alignment horizontal="center"/>
    </xf>
    <xf numFmtId="0" fontId="38" fillId="5" borderId="10" xfId="0" applyFont="1" applyFill="1" applyBorder="1" applyAlignment="1">
      <alignment horizontal="center"/>
    </xf>
    <xf numFmtId="0" fontId="39" fillId="4" borderId="14" xfId="0" applyFont="1" applyFill="1" applyBorder="1" applyAlignment="1">
      <alignment horizontal="center" vertical="center"/>
    </xf>
    <xf numFmtId="0" fontId="40" fillId="0" borderId="11" xfId="0" applyFont="1" applyBorder="1"/>
    <xf numFmtId="0" fontId="40" fillId="0" borderId="16" xfId="0" applyFont="1" applyBorder="1"/>
  </cellXfs>
  <cellStyles count="2">
    <cellStyle name="Hyperlink" xfId="1" builtinId="8"/>
    <cellStyle name="Normal" xfId="0" builtinId="0"/>
  </cellStyles>
  <dxfs count="46">
    <dxf>
      <font>
        <b/>
        <i val="0"/>
        <color theme="8"/>
      </font>
      <fill>
        <patternFill patternType="none">
          <fgColor indexed="64"/>
          <bgColor auto="1"/>
        </patternFill>
      </fill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theme="8"/>
      </font>
      <fill>
        <patternFill patternType="none">
          <fgColor indexed="64"/>
          <bgColor auto="1"/>
        </patternFill>
      </fill>
    </dxf>
    <dxf>
      <font>
        <b/>
        <i val="0"/>
        <color rgb="FFFF0000"/>
      </font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E4923F"/>
        </patternFill>
      </fill>
    </dxf>
    <dxf>
      <fill>
        <patternFill patternType="solid">
          <fgColor indexed="64"/>
          <bgColor rgb="FFFF6B6B"/>
        </patternFill>
      </fill>
    </dxf>
    <dxf>
      <font>
        <color rgb="FF008080"/>
      </font>
    </dxf>
    <dxf>
      <font>
        <color rgb="FFFF0000"/>
      </font>
    </dxf>
    <dxf>
      <font>
        <color rgb="FFFF0000"/>
      </font>
    </dxf>
    <dxf>
      <font>
        <color rgb="FF008080"/>
      </font>
    </dxf>
    <dxf>
      <font>
        <color rgb="FFFF0000"/>
      </font>
    </dxf>
    <dxf>
      <fill>
        <patternFill patternType="solid">
          <fgColor indexed="64"/>
          <bgColor rgb="FFE4923F"/>
        </patternFill>
      </fill>
    </dxf>
    <dxf>
      <fill>
        <patternFill patternType="solid">
          <fgColor indexed="64"/>
          <bgColor rgb="FFFF6B6B"/>
        </patternFill>
      </fill>
    </dxf>
    <dxf>
      <font>
        <color rgb="FF008080"/>
      </font>
    </dxf>
    <dxf>
      <font>
        <color rgb="FFFF0000"/>
      </font>
    </dxf>
    <dxf>
      <font>
        <color rgb="FFFF0000"/>
      </font>
    </dxf>
    <dxf>
      <font>
        <color rgb="FF008080"/>
      </font>
    </dxf>
    <dxf>
      <font>
        <color rgb="FFFF0000"/>
      </font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E4923F"/>
        </patternFill>
      </fill>
    </dxf>
    <dxf>
      <font>
        <color rgb="FF008080"/>
      </font>
    </dxf>
    <dxf>
      <font>
        <color rgb="FFFF0000"/>
      </font>
    </dxf>
    <dxf>
      <font>
        <color rgb="FFFF0000"/>
      </font>
    </dxf>
    <dxf>
      <font>
        <color rgb="FF008080"/>
      </font>
    </dxf>
    <dxf>
      <font>
        <color rgb="FFFF0000"/>
      </font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E4923F"/>
        </patternFill>
      </fill>
    </dxf>
    <dxf>
      <font>
        <color rgb="FF008080"/>
      </font>
    </dxf>
    <dxf>
      <font>
        <color rgb="FFFF0000"/>
      </font>
    </dxf>
    <dxf>
      <font>
        <color rgb="FFFF0000"/>
      </font>
    </dxf>
    <dxf>
      <font>
        <color rgb="FF008080"/>
      </font>
    </dxf>
    <dxf>
      <font>
        <color rgb="FFFF0000"/>
      </font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E4923F"/>
        </patternFill>
      </fill>
    </dxf>
    <dxf>
      <font>
        <color rgb="FF00796B"/>
      </font>
    </dxf>
    <dxf>
      <font>
        <color rgb="FFFF0000"/>
      </font>
    </dxf>
    <dxf>
      <font>
        <color rgb="FFFF0000"/>
      </font>
    </dxf>
    <dxf>
      <font>
        <color rgb="FF008080"/>
      </font>
    </dxf>
    <dxf>
      <font>
        <color rgb="FFFF0000"/>
      </font>
    </dxf>
    <dxf>
      <font>
        <color rgb="FF00FFFF"/>
      </font>
    </dxf>
    <dxf>
      <font>
        <color rgb="FFFF0000"/>
      </font>
    </dxf>
    <dxf>
      <font>
        <color rgb="FFFF0000"/>
      </font>
    </dxf>
    <dxf>
      <font>
        <color rgb="FF00AA00"/>
      </font>
    </dxf>
    <dxf>
      <font>
        <color rgb="FFFF0000"/>
      </font>
    </dxf>
    <dxf>
      <font>
        <color rgb="FF00AA00"/>
      </font>
    </dxf>
  </dxfs>
  <tableStyles count="0" defaultTableStyle="TableStyleMedium9" defaultPivotStyle="PivotStyleLight16"/>
  <colors>
    <mruColors>
      <color rgb="FF215967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185382</xdr:colOff>
      <xdr:row>46</xdr:row>
      <xdr:rowOff>103306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1D469-0379-A614-2C44-C25B639F7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4478"/>
          <a:ext cx="6781800" cy="8699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8</xdr:col>
      <xdr:colOff>312382</xdr:colOff>
      <xdr:row>93</xdr:row>
      <xdr:rowOff>68997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4343AE-0EA3-81C2-182B-9CFF5B55A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30224"/>
          <a:ext cx="6908800" cy="878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8</xdr:col>
      <xdr:colOff>147282</xdr:colOff>
      <xdr:row>137</xdr:row>
      <xdr:rowOff>116954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322EFE-3335-4245-61C7-4D7FB634B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339179"/>
          <a:ext cx="6743700" cy="826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06e452ca8d47646/Documents/Work/School-based%20scheduler/Caseload%20scheduler.xlsx" TargetMode="External"/><Relationship Id="rId1" Type="http://schemas.openxmlformats.org/officeDocument/2006/relationships/externalLinkPath" Target="https://d.docs.live.net/b06e452ca8d47646/Documents/Work/School-based%20scheduler/Caseload%20schedu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ING EXAMPLES"/>
      <sheetName val="CLIENTS INFO"/>
      <sheetName val="THERAPIST CASELOAD TRACKER"/>
    </sheetNames>
    <sheetDataSet>
      <sheetData sheetId="0"/>
      <sheetData sheetId="1">
        <row r="3">
          <cell r="E3" t="str">
            <v>NAME</v>
          </cell>
        </row>
      </sheetData>
      <sheetData sheetId="2">
        <row r="101">
          <cell r="B101" t="str">
            <v>Individual 16-30 min.</v>
          </cell>
          <cell r="C101" t="str">
            <v>Individual 38 min.</v>
          </cell>
        </row>
        <row r="102">
          <cell r="B102" t="str">
            <v xml:space="preserve">Family 30 min. </v>
          </cell>
          <cell r="C102" t="str">
            <v>Group 40 min. x6 clients</v>
          </cell>
        </row>
        <row r="103">
          <cell r="C103" t="str">
            <v>Individual 54 min.</v>
          </cell>
        </row>
        <row r="104">
          <cell r="C104" t="str">
            <v>Intake 60 min.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W748"/>
  <sheetViews>
    <sheetView tabSelected="1" zoomScale="90" zoomScaleNormal="90" workbookViewId="0">
      <pane xSplit="5" ySplit="3" topLeftCell="F4" activePane="bottomRight" state="frozen"/>
      <selection pane="topRight"/>
      <selection pane="bottomLeft"/>
      <selection pane="bottomRight" activeCell="A2" sqref="A2:C2"/>
    </sheetView>
  </sheetViews>
  <sheetFormatPr defaultColWidth="8.85546875" defaultRowHeight="15" x14ac:dyDescent="0.25"/>
  <cols>
    <col min="1" max="1" width="20.42578125" customWidth="1"/>
    <col min="2" max="3" width="13.28515625" customWidth="1"/>
    <col min="4" max="4" width="4.85546875" customWidth="1"/>
    <col min="5" max="5" width="15.7109375" customWidth="1"/>
    <col min="6" max="6" width="23.28515625" customWidth="1"/>
    <col min="7" max="7" width="15" customWidth="1"/>
    <col min="8" max="8" width="23.28515625" customWidth="1"/>
    <col min="9" max="9" width="15" customWidth="1"/>
    <col min="10" max="10" width="23.28515625" customWidth="1"/>
    <col min="11" max="11" width="15" customWidth="1"/>
    <col min="12" max="12" width="23.28515625" customWidth="1"/>
    <col min="13" max="13" width="15" customWidth="1"/>
    <col min="14" max="14" width="23.28515625" customWidth="1"/>
    <col min="15" max="15" width="15" customWidth="1"/>
    <col min="16" max="16" width="8.85546875" hidden="1" customWidth="1"/>
    <col min="17" max="38" width="13" hidden="1" customWidth="1"/>
    <col min="39" max="39" width="3.140625" customWidth="1"/>
    <col min="40" max="40" width="59.42578125" style="3" hidden="1" customWidth="1"/>
    <col min="41" max="47" width="8.85546875" style="3" hidden="1" customWidth="1"/>
    <col min="48" max="48" width="8.85546875" hidden="1" customWidth="1"/>
    <col min="49" max="49" width="22" hidden="1" customWidth="1"/>
    <col min="50" max="61" width="8.85546875" hidden="1" customWidth="1"/>
    <col min="62" max="63" width="0" style="3" hidden="1" customWidth="1"/>
    <col min="64" max="101" width="8.85546875" style="3"/>
  </cols>
  <sheetData>
    <row r="1" spans="1:59" ht="27.95" customHeight="1" thickTop="1" thickBot="1" x14ac:dyDescent="0.3">
      <c r="A1" s="142" t="s">
        <v>158</v>
      </c>
      <c r="B1" s="143"/>
      <c r="C1" s="143"/>
      <c r="D1" s="14"/>
      <c r="E1" s="137" t="s">
        <v>0</v>
      </c>
      <c r="F1" s="138"/>
      <c r="G1" s="138"/>
      <c r="H1" s="138"/>
      <c r="I1" s="138"/>
      <c r="J1" s="138"/>
      <c r="K1" s="138"/>
      <c r="L1" s="138"/>
      <c r="M1" s="138"/>
      <c r="N1" s="138"/>
      <c r="O1" s="139"/>
      <c r="P1" s="14" t="s">
        <v>12</v>
      </c>
      <c r="Q1" s="14" t="s">
        <v>13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Q1" s="3" t="s">
        <v>32</v>
      </c>
      <c r="AR1" s="3" t="s">
        <v>33</v>
      </c>
      <c r="AU1" s="3" t="s">
        <v>139</v>
      </c>
      <c r="AV1" s="3" t="s">
        <v>140</v>
      </c>
    </row>
    <row r="2" spans="1:59" ht="20.100000000000001" customHeight="1" thickTop="1" x14ac:dyDescent="0.35">
      <c r="A2" s="168" t="str">
        <f ca="1">TEXT(TODAY(),"dddd, mmmm d, yyyy")</f>
        <v>Wednesday, June 10, 2026</v>
      </c>
      <c r="B2" s="169"/>
      <c r="C2" s="170"/>
      <c r="D2" s="14"/>
      <c r="E2" s="15" t="s">
        <v>91</v>
      </c>
      <c r="F2" s="16" t="s">
        <v>2</v>
      </c>
      <c r="G2" s="16" t="s">
        <v>11</v>
      </c>
      <c r="H2" s="16" t="s">
        <v>3</v>
      </c>
      <c r="I2" s="16" t="s">
        <v>11</v>
      </c>
      <c r="J2" s="16" t="s">
        <v>4</v>
      </c>
      <c r="K2" s="16" t="s">
        <v>11</v>
      </c>
      <c r="L2" s="16" t="s">
        <v>5</v>
      </c>
      <c r="M2" s="16" t="s">
        <v>11</v>
      </c>
      <c r="N2" s="16" t="s">
        <v>6</v>
      </c>
      <c r="O2" s="17" t="s">
        <v>11</v>
      </c>
      <c r="P2" s="14">
        <v>30</v>
      </c>
      <c r="Q2" s="14" t="s">
        <v>92</v>
      </c>
      <c r="R2" s="14" t="s">
        <v>1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Q2" s="3" t="s">
        <v>34</v>
      </c>
      <c r="AR2" s="3" t="s">
        <v>104</v>
      </c>
      <c r="AS2" s="3" t="s">
        <v>101</v>
      </c>
      <c r="AU2" s="3" t="s">
        <v>124</v>
      </c>
      <c r="AV2">
        <v>30</v>
      </c>
      <c r="AZ2">
        <v>1</v>
      </c>
    </row>
    <row r="3" spans="1:59" ht="20.100000000000001" customHeight="1" x14ac:dyDescent="0.25">
      <c r="A3" s="42"/>
      <c r="B3" s="43"/>
      <c r="C3" s="44"/>
      <c r="D3" s="14"/>
      <c r="E3" s="18">
        <v>0.29166666666666669</v>
      </c>
      <c r="F3" s="84"/>
      <c r="G3" s="84"/>
      <c r="H3" s="84"/>
      <c r="I3" s="84"/>
      <c r="J3" s="84"/>
      <c r="K3" s="84"/>
      <c r="L3" s="84"/>
      <c r="M3" s="84"/>
      <c r="N3" s="84"/>
      <c r="O3" s="85"/>
      <c r="P3" s="14">
        <v>45</v>
      </c>
      <c r="Q3" s="14" t="s">
        <v>93</v>
      </c>
      <c r="R3" s="14" t="s">
        <v>7</v>
      </c>
      <c r="S3" s="14" t="s">
        <v>14</v>
      </c>
      <c r="T3" s="14" t="s">
        <v>15</v>
      </c>
      <c r="U3" s="14" t="s">
        <v>16</v>
      </c>
      <c r="V3" s="14" t="s">
        <v>17</v>
      </c>
      <c r="W3" s="14" t="s">
        <v>18</v>
      </c>
      <c r="X3" s="14" t="s">
        <v>19</v>
      </c>
      <c r="Y3" s="14" t="s">
        <v>20</v>
      </c>
      <c r="Z3" s="14" t="s">
        <v>21</v>
      </c>
      <c r="AA3" s="14" t="s">
        <v>22</v>
      </c>
      <c r="AB3" s="14" t="s">
        <v>23</v>
      </c>
      <c r="AC3" s="14" t="s">
        <v>24</v>
      </c>
      <c r="AD3" s="14" t="s">
        <v>25</v>
      </c>
      <c r="AE3" s="14" t="s">
        <v>26</v>
      </c>
      <c r="AF3" s="14" t="s">
        <v>27</v>
      </c>
      <c r="AG3" s="14" t="s">
        <v>28</v>
      </c>
      <c r="AH3" s="14"/>
      <c r="AI3" s="14"/>
      <c r="AJ3" s="14"/>
      <c r="AK3" s="14"/>
      <c r="AL3" s="14"/>
      <c r="AM3" s="14"/>
      <c r="AQ3" s="3" t="s">
        <v>35</v>
      </c>
      <c r="AR3" s="3" t="s">
        <v>36</v>
      </c>
      <c r="AU3" s="3" t="s">
        <v>125</v>
      </c>
    </row>
    <row r="4" spans="1:59" ht="20.100000000000001" customHeight="1" x14ac:dyDescent="0.25">
      <c r="A4" s="144" t="str" cm="1">
        <f t="array" ref="A4">UPPER(TEXT(INDEX($AW$5:$AW$17,$AZ$2),"mmmm yyyy"))</f>
        <v>JUNE 2026</v>
      </c>
      <c r="B4" s="121"/>
      <c r="C4" s="122"/>
      <c r="D4" s="14"/>
      <c r="E4" s="18">
        <v>0.30208333333333331</v>
      </c>
      <c r="F4" s="86"/>
      <c r="G4" s="86"/>
      <c r="H4" s="86"/>
      <c r="I4" s="86"/>
      <c r="J4" s="86"/>
      <c r="K4" s="86"/>
      <c r="L4" s="86"/>
      <c r="M4" s="86"/>
      <c r="N4" s="86"/>
      <c r="O4" s="87"/>
      <c r="P4" s="14">
        <v>60</v>
      </c>
      <c r="Q4" s="14" t="s">
        <v>94</v>
      </c>
      <c r="R4" s="14" t="s">
        <v>8</v>
      </c>
      <c r="S4" s="14">
        <f t="shared" ref="S4:S21" si="0">IFERROR(INDEX($P$2:$P$11,MATCH(F3,$Q$2:$Q$11,0)),0)</f>
        <v>0</v>
      </c>
      <c r="T4" s="14" t="str">
        <f>IF(F4="","",IF(ISNUMBER(SEARCH("Group",F4)),IF(ISNUMBER(G4),G4*0.33,0),IF(F4="Individual 30 min",0.63,IF(F4="Individual 45 min",0.82,IF(F4="Individual 60 min",1,IF(F4="Family 30 min",0.75,IF(F4="Intake",1.15,IF(ISNUMBER(SEARCH("Non-billable",F4)),0,IF(ISNUMBER(SEARCH("PTO",F4)),0,0)))))))))</f>
        <v/>
      </c>
      <c r="U4" s="14">
        <f t="shared" ref="U4:U47" si="1">IFERROR(INDEX($P$2:$P$11,MATCH(H3,$Q$2:$Q$11,0)),0)</f>
        <v>0</v>
      </c>
      <c r="V4" s="14" t="str">
        <f>IF(H4="","",IF(ISNUMBER(SEARCH("Group",H4)),IF(ISNUMBER(I4),I4*0.33,0),IF(H4="Individual 30 min",0.63,IF(H4="Individual 45 min",0.82,IF(H4="Individual 60 min",1,IF(H4="Family 30 min",0.75,IF(H4="Intake",1.15,IF(ISNUMBER(SEARCH("Non-billable",H4)),0,IF(ISNUMBER(SEARCH("PTO",H4)),0,0)))))))))</f>
        <v/>
      </c>
      <c r="W4" s="14">
        <f t="shared" ref="W4:W47" si="2">IFERROR(INDEX($P$2:$P$11,MATCH(J3,$Q$2:$Q$11,0)),0)</f>
        <v>0</v>
      </c>
      <c r="X4" s="14" t="str">
        <f>IF(J4="","",IF(ISNUMBER(SEARCH("Group",J4)),IF(ISNUMBER(K4),K4*0.33,0),IF(J4="Individual 30 min",0.63,IF(J4="Individual 45 min",0.82,IF(J4="Individual 60 min",1,IF(J4="Family 30 min",0.75,IF(J4="Intake",1.15,IF(ISNUMBER(SEARCH("Non-billable",J4)),0,IF(ISNUMBER(SEARCH("PTO",J4)),0,0)))))))))</f>
        <v/>
      </c>
      <c r="Y4" s="14">
        <f t="shared" ref="Y4:Y47" si="3">IFERROR(INDEX($P$2:$P$11,MATCH(L3,$Q$2:$Q$11,0)),0)</f>
        <v>0</v>
      </c>
      <c r="Z4" s="14" t="str">
        <f>IF(L4="","",IF(ISNUMBER(SEARCH("Group",L4)),IF(ISNUMBER(M4),M4*0.33,0),IF(L4="Individual 30 min",0.63,IF(L4="Individual 45 min",0.82,IF(L4="Individual 60 min",1,IF(L4="Family 30 min",0.75,IF(L4="Intake",1.15,IF(ISNUMBER(SEARCH("Non-billable",L4)),0,IF(ISNUMBER(SEARCH("PTO",L4)),0,0)))))))))</f>
        <v/>
      </c>
      <c r="AA4" s="14">
        <f t="shared" ref="AA4:AA47" si="4">IFERROR(INDEX($P$2:$P$11,MATCH(N3,$Q$2:$Q$11,0)),0)</f>
        <v>0</v>
      </c>
      <c r="AB4" s="14" t="str">
        <f>IF(N4="","",IF(ISNUMBER(SEARCH("Group",N4)),IF(ISNUMBER(O4),O4*0.33,0),IF(N4="Individual 30 min",0.63,IF(N4="Individual 45 min",0.82,IF(N4="Individual 60 min",1,IF(N4="Family 30 min",0.75,IF(N4="Intake",1.15,IF(ISNUMBER(SEARCH("Non-billable",N4)),0,IF(ISNUMBER(SEARCH("PTO",N4)),0,0)))))))))</f>
        <v/>
      </c>
      <c r="AC4" s="14" t="b">
        <v>0</v>
      </c>
      <c r="AD4" s="14" t="b">
        <v>0</v>
      </c>
      <c r="AE4" s="14" t="b">
        <v>0</v>
      </c>
      <c r="AF4" s="14" t="b">
        <v>0</v>
      </c>
      <c r="AG4" s="14" t="b">
        <v>0</v>
      </c>
      <c r="AH4" s="14" t="str">
        <f t="shared" ref="AH4:AH26" si="5">IF(LEFT(N3,5)="Group",IFERROR(VALUE(MID(N3,FIND("(",N3)+1,FIND(")",N3)-FIND("(",N3)-1)),0),"")</f>
        <v/>
      </c>
      <c r="AI4" s="14" t="e">
        <f>IF(AK4,0,IF(#REF!="Yes",0,IF(N3="","",IF(N3="PTO / Closed Day",0,IF(OR(N3="Individual 53+",N3="Non-billable 60 min admin block"),60,IF(OR(LEFT(N3,5)="Group",N3="Individual 38-52"),45,30))))))</f>
        <v>#REF!</v>
      </c>
      <c r="AJ4" s="14" t="e">
        <f>IF(AK4,0,IF(OR(#REF!="Yes",N3="",LEFT(N3,3)="PTO"),0,IF(LEFT(N3,5)="Group",0.33*AH4,IF(N3="Individual 16-37",0.63,IF(N3="Individual 38-52",0.82,IF(N3="Individual 53+",1,IF(N3="Family 26+",0.75,IF(N3="Intake",1.15,0))))))))</f>
        <v>#REF!</v>
      </c>
      <c r="AK4" s="14" t="b">
        <f>FALSE</f>
        <v>0</v>
      </c>
      <c r="AL4" s="14"/>
      <c r="AM4" s="14"/>
      <c r="AQ4" s="3" t="s">
        <v>37</v>
      </c>
      <c r="AR4" s="3" t="s">
        <v>38</v>
      </c>
      <c r="AS4" s="3" t="s">
        <v>103</v>
      </c>
      <c r="AU4" s="3" t="s">
        <v>126</v>
      </c>
      <c r="AW4" s="117" t="s">
        <v>159</v>
      </c>
      <c r="AX4" s="117" t="s">
        <v>160</v>
      </c>
      <c r="AY4" s="117" t="s">
        <v>161</v>
      </c>
      <c r="AZ4" s="117"/>
      <c r="BA4" s="117" t="s">
        <v>162</v>
      </c>
      <c r="BB4" s="117" t="s">
        <v>163</v>
      </c>
      <c r="BC4" s="117" t="s">
        <v>164</v>
      </c>
      <c r="BD4" s="117" t="s">
        <v>165</v>
      </c>
      <c r="BE4" s="117" t="s">
        <v>166</v>
      </c>
      <c r="BF4" s="117" t="s">
        <v>167</v>
      </c>
      <c r="BG4" s="117"/>
    </row>
    <row r="5" spans="1:59" ht="20.100000000000001" customHeight="1" x14ac:dyDescent="0.25">
      <c r="A5" s="145" t="s">
        <v>168</v>
      </c>
      <c r="B5" s="146"/>
      <c r="C5" s="147"/>
      <c r="D5" s="14"/>
      <c r="E5" s="18">
        <v>0.3125</v>
      </c>
      <c r="F5" s="86"/>
      <c r="G5" s="86"/>
      <c r="H5" s="86"/>
      <c r="I5" s="86"/>
      <c r="J5" s="86"/>
      <c r="K5" s="86"/>
      <c r="L5" s="86"/>
      <c r="M5" s="86"/>
      <c r="N5" s="86"/>
      <c r="O5" s="87"/>
      <c r="P5" s="14">
        <v>30</v>
      </c>
      <c r="Q5" s="14" t="s">
        <v>95</v>
      </c>
      <c r="R5" s="14" t="s">
        <v>9</v>
      </c>
      <c r="S5" s="14">
        <f t="shared" si="0"/>
        <v>0</v>
      </c>
      <c r="T5" s="14" t="str">
        <f t="shared" ref="T5:T47" si="6">IF(F5="","",IF(ISNUMBER(SEARCH("Group",F5)),IF(ISNUMBER(G5),G5*0.33,0),IF(F5="Individual 30 min",0.63,IF(F5="Individual 45 min",0.82,IF(F5="Individual 60 min",1,IF(F5="Family 30 min",0.75,IF(F5="Intake",1.15,IF(ISNUMBER(SEARCH("Non-billable",F5)),0,IF(ISNUMBER(SEARCH("PTO",F5)),0,0)))))))))</f>
        <v/>
      </c>
      <c r="U5" s="14">
        <f t="shared" si="1"/>
        <v>0</v>
      </c>
      <c r="V5" s="14" t="str">
        <f t="shared" ref="V5:V47" si="7">IF(H5="","",IF(ISNUMBER(SEARCH("Group",H5)),IF(ISNUMBER(I5),I5*0.33,0),IF(H5="Individual 30 min",0.63,IF(H5="Individual 45 min",0.82,IF(H5="Individual 60 min",1,IF(H5="Family 30 min",0.75,IF(H5="Intake",1.15,IF(ISNUMBER(SEARCH("Non-billable",H5)),0,IF(ISNUMBER(SEARCH("PTO",H5)),0,0)))))))))</f>
        <v/>
      </c>
      <c r="W5" s="14">
        <f t="shared" si="2"/>
        <v>0</v>
      </c>
      <c r="X5" s="14" t="str">
        <f t="shared" ref="X5:X47" si="8">IF(J5="","",IF(ISNUMBER(SEARCH("Group",J5)),IF(ISNUMBER(K5),K5*0.33,0),IF(J5="Individual 30 min",0.63,IF(J5="Individual 45 min",0.82,IF(J5="Individual 60 min",1,IF(J5="Family 30 min",0.75,IF(J5="Intake",1.15,IF(ISNUMBER(SEARCH("Non-billable",J5)),0,IF(ISNUMBER(SEARCH("PTO",J5)),0,0)))))))))</f>
        <v/>
      </c>
      <c r="Y5" s="14">
        <f t="shared" si="3"/>
        <v>0</v>
      </c>
      <c r="Z5" s="14" t="str">
        <f t="shared" ref="Z5:Z47" si="9">IF(L5="","",IF(ISNUMBER(SEARCH("Group",L5)),IF(ISNUMBER(M5),M5*0.33,0),IF(L5="Individual 30 min",0.63,IF(L5="Individual 45 min",0.82,IF(L5="Individual 60 min",1,IF(L5="Family 30 min",0.75,IF(L5="Intake",1.15,IF(ISNUMBER(SEARCH("Non-billable",L5)),0,IF(ISNUMBER(SEARCH("PTO",L5)),0,0)))))))))</f>
        <v/>
      </c>
      <c r="AA5" s="14">
        <f t="shared" si="4"/>
        <v>0</v>
      </c>
      <c r="AB5" s="14" t="str">
        <f t="shared" ref="AB5:AB47" si="10">IF(N5="","",IF(ISNUMBER(SEARCH("Group",N5)),IF(ISNUMBER(O5),O5*0.33,0),IF(N5="Individual 30 min",0.63,IF(N5="Individual 45 min",0.82,IF(N5="Individual 60 min",1,IF(N5="Family 30 min",0.75,IF(N5="Intake",1.15,IF(ISNUMBER(SEARCH("Non-billable",N5)),0,IF(ISNUMBER(SEARCH("PTO",N5)),0,0)))))))))</f>
        <v/>
      </c>
      <c r="AC5" s="14" t="b">
        <f>OR(S4&gt;=30)</f>
        <v>0</v>
      </c>
      <c r="AD5" s="14" t="b">
        <f>OR(U4&gt;=30)</f>
        <v>0</v>
      </c>
      <c r="AE5" s="14" t="b">
        <f>OR(W4&gt;=30)</f>
        <v>0</v>
      </c>
      <c r="AF5" s="14" t="b">
        <f>OR(Y4&gt;=30)</f>
        <v>0</v>
      </c>
      <c r="AG5" s="14" t="b">
        <f>OR(AA4&gt;=30)</f>
        <v>0</v>
      </c>
      <c r="AH5" s="14" t="str">
        <f t="shared" si="5"/>
        <v/>
      </c>
      <c r="AI5" s="14" t="e">
        <f>IF(AK5,0,IF(#REF!="Yes",0,IF(N4="","",IF(N4="PTO / Closed Day",0,IF(OR(N4="Individual 53+",N4="Non-billable 60 min admin block"),60,IF(OR(LEFT(N4,5)="Group",N4="Individual 38-52"),45,30))))))</f>
        <v>#REF!</v>
      </c>
      <c r="AJ5" s="14" t="e">
        <f>IF(AK5,0,IF(OR(#REF!="Yes",N4="",LEFT(N4,3)="PTO"),0,IF(LEFT(N4,5)="Group",0.33*AH5,IF(N4="Individual 16-37",0.63,IF(N4="Individual 38-52",0.82,IF(N4="Individual 53+",1,IF(N4="Family 26+",0.75,IF(N4="Intake",1.15,0))))))))</f>
        <v>#REF!</v>
      </c>
      <c r="AK5" s="14" t="e">
        <f t="shared" ref="AK5:AK26" si="11">IF(AI4&gt;30,TRUE,FALSE)</f>
        <v>#REF!</v>
      </c>
      <c r="AL5" s="14"/>
      <c r="AM5" s="14"/>
      <c r="AQ5" s="3" t="s">
        <v>39</v>
      </c>
      <c r="AR5" s="3" t="s">
        <v>102</v>
      </c>
      <c r="AU5" s="3" t="s">
        <v>127</v>
      </c>
      <c r="AW5" s="118">
        <v>46174</v>
      </c>
      <c r="AX5" s="117">
        <v>2</v>
      </c>
      <c r="AY5" s="117">
        <v>30</v>
      </c>
      <c r="AZ5" s="117"/>
      <c r="BA5" s="117" t="s">
        <v>169</v>
      </c>
      <c r="BB5" s="117" t="s">
        <v>175</v>
      </c>
      <c r="BC5" s="117" t="s">
        <v>181</v>
      </c>
      <c r="BD5" s="117" t="s">
        <v>182</v>
      </c>
      <c r="BE5" s="117" t="s">
        <v>184</v>
      </c>
      <c r="BF5" s="117"/>
      <c r="BG5" s="117"/>
    </row>
    <row r="6" spans="1:59" ht="20.100000000000001" customHeight="1" x14ac:dyDescent="0.25">
      <c r="A6" s="120" t="str" cm="1">
        <f t="array" ref="A6">INDEX($BA$5:$BA$17,$AZ$2)</f>
        <v xml:space="preserve">            1    2    3    4    5    6</v>
      </c>
      <c r="B6" s="121"/>
      <c r="C6" s="122"/>
      <c r="D6" s="14"/>
      <c r="E6" s="18">
        <v>0.32291666666666669</v>
      </c>
      <c r="F6" s="86"/>
      <c r="G6" s="86"/>
      <c r="H6" s="86"/>
      <c r="I6" s="86"/>
      <c r="J6" s="86"/>
      <c r="K6" s="86"/>
      <c r="L6" s="86"/>
      <c r="M6" s="86"/>
      <c r="N6" s="86"/>
      <c r="O6" s="87"/>
      <c r="P6" s="14">
        <v>60</v>
      </c>
      <c r="Q6" s="14" t="s">
        <v>8</v>
      </c>
      <c r="R6" s="14" t="s">
        <v>10</v>
      </c>
      <c r="S6" s="14">
        <f t="shared" si="0"/>
        <v>0</v>
      </c>
      <c r="T6" s="14" t="str">
        <f t="shared" si="6"/>
        <v/>
      </c>
      <c r="U6" s="14">
        <f t="shared" si="1"/>
        <v>0</v>
      </c>
      <c r="V6" s="14" t="str">
        <f t="shared" si="7"/>
        <v/>
      </c>
      <c r="W6" s="14">
        <f t="shared" si="2"/>
        <v>0</v>
      </c>
      <c r="X6" s="14" t="str">
        <f t="shared" si="8"/>
        <v/>
      </c>
      <c r="Y6" s="14">
        <f t="shared" si="3"/>
        <v>0</v>
      </c>
      <c r="Z6" s="14" t="str">
        <f t="shared" si="9"/>
        <v/>
      </c>
      <c r="AA6" s="14">
        <f t="shared" si="4"/>
        <v>0</v>
      </c>
      <c r="AB6" s="14" t="str">
        <f t="shared" si="10"/>
        <v/>
      </c>
      <c r="AC6" s="14" t="b">
        <f>OR(S5&gt;=30,S4&gt;=45)</f>
        <v>0</v>
      </c>
      <c r="AD6" s="14" t="b">
        <f>OR(U5&gt;=30,U4&gt;=45)</f>
        <v>0</v>
      </c>
      <c r="AE6" s="14" t="b">
        <f>OR(W5&gt;=30,W4&gt;=45)</f>
        <v>0</v>
      </c>
      <c r="AF6" s="14" t="b">
        <f>OR(Y5&gt;=30,Y4&gt;=45)</f>
        <v>0</v>
      </c>
      <c r="AG6" s="14" t="b">
        <f>OR(AA5&gt;=30,AA4&gt;=45)</f>
        <v>0</v>
      </c>
      <c r="AH6" s="14" t="str">
        <f t="shared" si="5"/>
        <v/>
      </c>
      <c r="AI6" s="14" t="e">
        <f>IF(AK6,0,IF(#REF!="Yes",0,IF(N5="","",IF(N5="PTO / Closed Day",0,IF(OR(N5="Individual 53+",N5="Non-billable 60 min admin block"),60,IF(OR(LEFT(N5,5)="Group",N5="Individual 38-52"),45,30))))))</f>
        <v>#REF!</v>
      </c>
      <c r="AJ6" s="14" t="e">
        <f>IF(AK6,0,IF(OR(#REF!="Yes",N5="",LEFT(N5,3)="PTO"),0,IF(LEFT(N5,5)="Group",0.33*AH6,IF(N5="Individual 16-37",0.63,IF(N5="Individual 38-52",0.82,IF(N5="Individual 53+",1,IF(N5="Family 26+",0.75,IF(N5="Intake",1.15,0))))))))</f>
        <v>#REF!</v>
      </c>
      <c r="AK6" s="14" t="e">
        <f t="shared" si="11"/>
        <v>#REF!</v>
      </c>
      <c r="AL6" s="14"/>
      <c r="AM6" s="14"/>
      <c r="AQ6" s="3" t="s">
        <v>40</v>
      </c>
      <c r="AR6" s="3" t="s">
        <v>41</v>
      </c>
      <c r="AS6" s="3" t="s">
        <v>105</v>
      </c>
      <c r="AU6" s="3" t="s">
        <v>128</v>
      </c>
      <c r="AW6" s="118">
        <v>46204</v>
      </c>
      <c r="AX6" s="117">
        <v>4</v>
      </c>
      <c r="AY6" s="117">
        <v>31</v>
      </c>
      <c r="AZ6" s="117"/>
      <c r="BA6" s="117" t="s">
        <v>170</v>
      </c>
      <c r="BB6" s="117" t="s">
        <v>171</v>
      </c>
      <c r="BC6" s="117" t="s">
        <v>172</v>
      </c>
      <c r="BD6" s="117" t="s">
        <v>173</v>
      </c>
      <c r="BE6" s="117" t="s">
        <v>174</v>
      </c>
      <c r="BF6" s="117"/>
      <c r="BG6" s="117"/>
    </row>
    <row r="7" spans="1:59" ht="20.100000000000001" customHeight="1" x14ac:dyDescent="0.25">
      <c r="A7" s="120" t="str" cm="1">
        <f t="array" ref="A7">INDEX($BB$5:$BB$17,$AZ$2)</f>
        <v xml:space="preserve">       7    8    9   10   11   12   13</v>
      </c>
      <c r="B7" s="121"/>
      <c r="C7" s="122"/>
      <c r="D7" s="14"/>
      <c r="E7" s="18">
        <v>0.33333333333333331</v>
      </c>
      <c r="F7" s="86"/>
      <c r="G7" s="86"/>
      <c r="H7" s="86"/>
      <c r="I7" s="86"/>
      <c r="J7" s="86"/>
      <c r="K7" s="86"/>
      <c r="L7" s="86"/>
      <c r="M7" s="86"/>
      <c r="N7" s="86"/>
      <c r="O7" s="87"/>
      <c r="P7" s="14">
        <v>45</v>
      </c>
      <c r="Q7" s="14" t="s">
        <v>96</v>
      </c>
      <c r="R7" s="14" t="str">
        <f t="shared" ref="R7:R26" si="12">IF(LEFT(F6,5)="Group",IFERROR(VALUE(MID(F6,FIND("(",F6)+1,FIND(")",F6)-FIND("(",F6)-1)),0),"")</f>
        <v/>
      </c>
      <c r="S7" s="14">
        <f t="shared" si="0"/>
        <v>0</v>
      </c>
      <c r="T7" s="14" t="str">
        <f t="shared" si="6"/>
        <v/>
      </c>
      <c r="U7" s="14">
        <f t="shared" si="1"/>
        <v>0</v>
      </c>
      <c r="V7" s="14" t="str">
        <f t="shared" si="7"/>
        <v/>
      </c>
      <c r="W7" s="14">
        <f t="shared" si="2"/>
        <v>0</v>
      </c>
      <c r="X7" s="14" t="str">
        <f t="shared" si="8"/>
        <v/>
      </c>
      <c r="Y7" s="14">
        <f t="shared" si="3"/>
        <v>0</v>
      </c>
      <c r="Z7" s="14" t="str">
        <f t="shared" si="9"/>
        <v/>
      </c>
      <c r="AA7" s="14">
        <f t="shared" si="4"/>
        <v>0</v>
      </c>
      <c r="AB7" s="14" t="str">
        <f t="shared" si="10"/>
        <v/>
      </c>
      <c r="AC7" s="14" t="b">
        <f>OR(S6&gt;=30,S5&gt;=45,S4&gt;=60)</f>
        <v>0</v>
      </c>
      <c r="AD7" s="14" t="b">
        <f>OR(U6&gt;=30,U5&gt;=45,U4&gt;=60)</f>
        <v>0</v>
      </c>
      <c r="AE7" s="14" t="b">
        <f>OR(W6&gt;=30,W5&gt;=45,W4&gt;=60)</f>
        <v>0</v>
      </c>
      <c r="AF7" s="14" t="b">
        <f>OR(Y6&gt;=30,Y5&gt;=45,Y4&gt;=60)</f>
        <v>0</v>
      </c>
      <c r="AG7" s="14" t="b">
        <f>OR(AA6&gt;=30,AA5&gt;=45,AA4&gt;=60)</f>
        <v>0</v>
      </c>
      <c r="AH7" s="14" t="str">
        <f t="shared" si="5"/>
        <v/>
      </c>
      <c r="AI7" s="14" t="e">
        <f>IF(AK7,0,IF(#REF!="Yes",0,IF(N6="","",IF(N6="PTO / Closed Day",0,IF(OR(N6="Individual 53+",N6="Non-billable 60 min admin block"),60,IF(OR(LEFT(N6,5)="Group",N6="Individual 38-52"),45,30))))))</f>
        <v>#REF!</v>
      </c>
      <c r="AJ7" s="14" t="e">
        <f>IF(AK7,0,IF(OR(#REF!="Yes",N6="",LEFT(N6,3)="PTO"),0,IF(LEFT(N6,5)="Group",0.33*AH7,IF(N6="Individual 16-37",0.63,IF(N6="Individual 38-52",0.82,IF(N6="Individual 53+",1,IF(N6="Family 26+",0.75,IF(N6="Intake",1.15,0))))))))</f>
        <v>#REF!</v>
      </c>
      <c r="AK7" s="14" t="e">
        <f t="shared" si="11"/>
        <v>#REF!</v>
      </c>
      <c r="AL7" s="14"/>
      <c r="AM7" s="14"/>
      <c r="AQ7" s="3" t="s">
        <v>42</v>
      </c>
      <c r="AR7" s="3" t="s">
        <v>43</v>
      </c>
      <c r="AS7" s="3" t="s">
        <v>44</v>
      </c>
      <c r="AU7" s="3" t="s">
        <v>129</v>
      </c>
      <c r="AW7" s="118">
        <v>46235</v>
      </c>
      <c r="AX7" s="117">
        <v>7</v>
      </c>
      <c r="AY7" s="117">
        <v>31</v>
      </c>
      <c r="AZ7" s="117"/>
      <c r="BA7" s="119">
        <v>1</v>
      </c>
      <c r="BB7" s="117" t="s">
        <v>176</v>
      </c>
      <c r="BC7" s="117" t="s">
        <v>177</v>
      </c>
      <c r="BD7" s="117" t="s">
        <v>178</v>
      </c>
      <c r="BE7" s="117" t="s">
        <v>179</v>
      </c>
      <c r="BF7" s="117" t="s">
        <v>180</v>
      </c>
      <c r="BG7" s="117"/>
    </row>
    <row r="8" spans="1:59" ht="20.100000000000001" customHeight="1" x14ac:dyDescent="0.25">
      <c r="A8" s="120" t="str" cm="1">
        <f t="array" ref="A8">INDEX($BC$5:$BC$17,$AZ$2)</f>
        <v xml:space="preserve">      14   15   16   17   18   19   20</v>
      </c>
      <c r="B8" s="121"/>
      <c r="C8" s="122"/>
      <c r="D8" s="14"/>
      <c r="E8" s="18">
        <v>0.34375</v>
      </c>
      <c r="F8" s="86"/>
      <c r="G8" s="86"/>
      <c r="H8" s="86"/>
      <c r="I8" s="86"/>
      <c r="J8" s="86"/>
      <c r="K8" s="86"/>
      <c r="L8" s="86"/>
      <c r="M8" s="86"/>
      <c r="N8" s="86"/>
      <c r="O8" s="87"/>
      <c r="P8" s="14">
        <v>30</v>
      </c>
      <c r="Q8" s="14" t="s">
        <v>156</v>
      </c>
      <c r="R8" s="14" t="str">
        <f t="shared" si="12"/>
        <v/>
      </c>
      <c r="S8" s="14">
        <f t="shared" si="0"/>
        <v>0</v>
      </c>
      <c r="T8" s="14" t="str">
        <f t="shared" si="6"/>
        <v/>
      </c>
      <c r="U8" s="14">
        <f t="shared" si="1"/>
        <v>0</v>
      </c>
      <c r="V8" s="14" t="str">
        <f t="shared" si="7"/>
        <v/>
      </c>
      <c r="W8" s="14">
        <f t="shared" si="2"/>
        <v>0</v>
      </c>
      <c r="X8" s="14" t="str">
        <f t="shared" si="8"/>
        <v/>
      </c>
      <c r="Y8" s="14">
        <f t="shared" si="3"/>
        <v>0</v>
      </c>
      <c r="Z8" s="14" t="str">
        <f t="shared" si="9"/>
        <v/>
      </c>
      <c r="AA8" s="14">
        <f t="shared" si="4"/>
        <v>0</v>
      </c>
      <c r="AB8" s="14" t="str">
        <f t="shared" si="10"/>
        <v/>
      </c>
      <c r="AC8" s="14" t="b">
        <f>OR(S7&gt;=30,S6&gt;=45,S5&gt;=60,S4&gt;=240)</f>
        <v>0</v>
      </c>
      <c r="AD8" s="14" t="b">
        <f>OR(U7&gt;=30,U6&gt;=45,U5&gt;=60,U4&gt;=240)</f>
        <v>0</v>
      </c>
      <c r="AE8" s="14" t="b">
        <f>OR(W7&gt;=30,W6&gt;=45,W5&gt;=60,W4&gt;=240)</f>
        <v>0</v>
      </c>
      <c r="AF8" s="14" t="b">
        <f>OR(Y7&gt;=30,Y6&gt;=45,Y5&gt;=60,Y4&gt;=240)</f>
        <v>0</v>
      </c>
      <c r="AG8" s="14" t="b">
        <f>OR(AA7&gt;=30,AA6&gt;=45,AA5&gt;=60,AA4&gt;=240)</f>
        <v>0</v>
      </c>
      <c r="AH8" s="14" t="str">
        <f t="shared" si="5"/>
        <v/>
      </c>
      <c r="AI8" s="14" t="e">
        <f>IF(AK8,0,IF(#REF!="Yes",0,IF(N7="","",IF(N7="PTO / Closed Day",0,IF(OR(N7="Individual 53+",N7="Non-billable 60 min admin block"),60,IF(OR(LEFT(N7,5)="Group",N7="Individual 38-52"),45,30))))))</f>
        <v>#REF!</v>
      </c>
      <c r="AJ8" s="14" t="e">
        <f>IF(AK8,0,IF(OR(#REF!="Yes",N7="",LEFT(N7,3)="PTO"),0,IF(LEFT(N7,5)="Group",0.33*AH8,IF(N7="Individual 16-37",0.63,IF(N7="Individual 38-52",0.82,IF(N7="Individual 53+",1,IF(N7="Family 26+",0.75,IF(N7="Intake",1.15,0))))))))</f>
        <v>#REF!</v>
      </c>
      <c r="AK8" s="14" t="e">
        <f t="shared" si="11"/>
        <v>#REF!</v>
      </c>
      <c r="AL8" s="14"/>
      <c r="AM8" s="14"/>
      <c r="AQ8" s="3" t="s">
        <v>45</v>
      </c>
      <c r="AR8" s="3" t="s">
        <v>46</v>
      </c>
      <c r="AS8" s="3" t="s">
        <v>106</v>
      </c>
      <c r="AU8" s="3" t="s">
        <v>130</v>
      </c>
      <c r="AW8" s="118">
        <v>46266</v>
      </c>
      <c r="AX8" s="117">
        <v>3</v>
      </c>
      <c r="AY8" s="117">
        <v>30</v>
      </c>
      <c r="AZ8" s="117"/>
      <c r="BA8" s="117" t="s">
        <v>195</v>
      </c>
      <c r="BB8" s="117" t="s">
        <v>196</v>
      </c>
      <c r="BC8" s="117" t="s">
        <v>197</v>
      </c>
      <c r="BD8" s="117" t="s">
        <v>198</v>
      </c>
      <c r="BE8" s="117" t="s">
        <v>199</v>
      </c>
      <c r="BF8" s="117"/>
      <c r="BG8" s="117"/>
    </row>
    <row r="9" spans="1:59" ht="20.100000000000001" customHeight="1" x14ac:dyDescent="0.25">
      <c r="A9" s="120" t="str" cm="1">
        <f t="array" ref="A9">INDEX($BD$5:$BD$17,$AZ$2)</f>
        <v xml:space="preserve">      21   22   23   24   25   26   27</v>
      </c>
      <c r="B9" s="121"/>
      <c r="C9" s="122"/>
      <c r="D9" s="14"/>
      <c r="E9" s="18">
        <v>0.35416666666666669</v>
      </c>
      <c r="F9" s="86"/>
      <c r="G9" s="86"/>
      <c r="H9" s="86"/>
      <c r="I9" s="86"/>
      <c r="J9" s="86"/>
      <c r="K9" s="86"/>
      <c r="L9" s="86"/>
      <c r="M9" s="86"/>
      <c r="N9" s="86"/>
      <c r="O9" s="87"/>
      <c r="P9" s="14">
        <v>60</v>
      </c>
      <c r="Q9" s="14" t="s">
        <v>157</v>
      </c>
      <c r="R9" s="14" t="str">
        <f t="shared" si="12"/>
        <v/>
      </c>
      <c r="S9" s="14">
        <f t="shared" si="0"/>
        <v>0</v>
      </c>
      <c r="T9" s="14" t="str">
        <f t="shared" si="6"/>
        <v/>
      </c>
      <c r="U9" s="14">
        <f t="shared" si="1"/>
        <v>0</v>
      </c>
      <c r="V9" s="14" t="str">
        <f t="shared" si="7"/>
        <v/>
      </c>
      <c r="W9" s="14">
        <f t="shared" si="2"/>
        <v>0</v>
      </c>
      <c r="X9" s="14" t="str">
        <f t="shared" si="8"/>
        <v/>
      </c>
      <c r="Y9" s="14">
        <f t="shared" si="3"/>
        <v>0</v>
      </c>
      <c r="Z9" s="14" t="str">
        <f t="shared" si="9"/>
        <v/>
      </c>
      <c r="AA9" s="14">
        <f t="shared" si="4"/>
        <v>0</v>
      </c>
      <c r="AB9" s="14" t="str">
        <f t="shared" si="10"/>
        <v/>
      </c>
      <c r="AC9" s="14" t="b">
        <f>OR(S8&gt;=30,S7&gt;=45,S6&gt;=60,S5&gt;=240,S4&gt;=240)</f>
        <v>0</v>
      </c>
      <c r="AD9" s="14" t="b">
        <f>OR(U8&gt;=30,U7&gt;=45,U6&gt;=60,U5&gt;=240,U4&gt;=240)</f>
        <v>0</v>
      </c>
      <c r="AE9" s="14" t="b">
        <f>OR(W8&gt;=30,W7&gt;=45,W6&gt;=60,W5&gt;=240,W4&gt;=240)</f>
        <v>0</v>
      </c>
      <c r="AF9" s="14" t="b">
        <f>OR(Y8&gt;=30,Y7&gt;=45,Y6&gt;=60,Y5&gt;=240,Y4&gt;=240)</f>
        <v>0</v>
      </c>
      <c r="AG9" s="14" t="b">
        <f>OR(AA8&gt;=30,AA7&gt;=45,AA6&gt;=60,AA5&gt;=240,AA4&gt;=240)</f>
        <v>0</v>
      </c>
      <c r="AH9" s="14" t="str">
        <f t="shared" si="5"/>
        <v/>
      </c>
      <c r="AI9" s="14" t="e">
        <f>IF(AK9,0,IF(#REF!="Yes",0,IF(N8="","",IF(N8="PTO / Closed Day",0,IF(OR(N8="Individual 53+",N8="Non-billable 60 min admin block"),60,IF(OR(LEFT(N8,5)="Group",N8="Individual 38-52"),45,30))))))</f>
        <v>#REF!</v>
      </c>
      <c r="AJ9" s="14" t="e">
        <f>IF(AK9,0,IF(OR(#REF!="Yes",N8="",LEFT(N8,3)="PTO"),0,IF(LEFT(N8,5)="Group",0.33*AH9,IF(N8="Individual 16-37",0.63,IF(N8="Individual 38-52",0.82,IF(N8="Individual 53+",1,IF(N8="Family 26+",0.75,IF(N8="Intake",1.15,0))))))))</f>
        <v>#REF!</v>
      </c>
      <c r="AK9" s="14" t="e">
        <f t="shared" si="11"/>
        <v>#REF!</v>
      </c>
      <c r="AL9" s="14"/>
      <c r="AM9" s="14"/>
      <c r="AQ9" s="3" t="s">
        <v>47</v>
      </c>
      <c r="AR9" s="3" t="s">
        <v>48</v>
      </c>
      <c r="AU9" s="3" t="s">
        <v>131</v>
      </c>
      <c r="AW9" s="118">
        <v>46296</v>
      </c>
      <c r="AX9" s="117">
        <v>5</v>
      </c>
      <c r="AY9" s="117">
        <v>31</v>
      </c>
      <c r="AZ9" s="117"/>
      <c r="BA9" s="117" t="s">
        <v>183</v>
      </c>
      <c r="BB9" s="117" t="s">
        <v>200</v>
      </c>
      <c r="BC9" s="117" t="s">
        <v>201</v>
      </c>
      <c r="BD9" s="117" t="s">
        <v>202</v>
      </c>
      <c r="BE9" s="117" t="s">
        <v>203</v>
      </c>
      <c r="BF9" s="117"/>
      <c r="BG9" s="117"/>
    </row>
    <row r="10" spans="1:59" ht="20.100000000000001" customHeight="1" x14ac:dyDescent="0.25">
      <c r="A10" s="120" t="str" cm="1">
        <f t="array" ref="A10">INDEX($BE$5:$BE$17,$AZ$2)</f>
        <v xml:space="preserve">      28   29   30</v>
      </c>
      <c r="B10" s="121"/>
      <c r="C10" s="122"/>
      <c r="D10" s="14"/>
      <c r="E10" s="18">
        <v>0.36458333333333331</v>
      </c>
      <c r="F10" s="86"/>
      <c r="G10" s="86"/>
      <c r="H10" s="86"/>
      <c r="I10" s="86"/>
      <c r="J10" s="86"/>
      <c r="K10" s="86"/>
      <c r="L10" s="86"/>
      <c r="M10" s="86"/>
      <c r="N10" s="86"/>
      <c r="O10" s="87"/>
      <c r="P10" s="14">
        <v>240</v>
      </c>
      <c r="Q10" s="14" t="s">
        <v>98</v>
      </c>
      <c r="R10" s="14" t="str">
        <f t="shared" si="12"/>
        <v/>
      </c>
      <c r="S10" s="14">
        <f t="shared" si="0"/>
        <v>0</v>
      </c>
      <c r="T10" s="14" t="str">
        <f t="shared" si="6"/>
        <v/>
      </c>
      <c r="U10" s="14">
        <f t="shared" si="1"/>
        <v>0</v>
      </c>
      <c r="V10" s="14" t="str">
        <f t="shared" si="7"/>
        <v/>
      </c>
      <c r="W10" s="14">
        <f t="shared" si="2"/>
        <v>0</v>
      </c>
      <c r="X10" s="14" t="str">
        <f t="shared" si="8"/>
        <v/>
      </c>
      <c r="Y10" s="14">
        <f t="shared" si="3"/>
        <v>0</v>
      </c>
      <c r="Z10" s="14" t="str">
        <f t="shared" si="9"/>
        <v/>
      </c>
      <c r="AA10" s="14">
        <f t="shared" si="4"/>
        <v>0</v>
      </c>
      <c r="AB10" s="14" t="str">
        <f t="shared" si="10"/>
        <v/>
      </c>
      <c r="AC10" s="14" t="b">
        <f>OR(S9&gt;=30,S8&gt;=45,S7&gt;=60,S6&gt;=240,S5&gt;=240,S4&gt;=240)</f>
        <v>0</v>
      </c>
      <c r="AD10" s="14" t="b">
        <f>OR(U9&gt;=30,U8&gt;=45,U7&gt;=60,U6&gt;=240,U5&gt;=240,U4&gt;=240)</f>
        <v>0</v>
      </c>
      <c r="AE10" s="14" t="b">
        <f>OR(W9&gt;=30,W8&gt;=45,W7&gt;=60,W6&gt;=240,W5&gt;=240,W4&gt;=240)</f>
        <v>0</v>
      </c>
      <c r="AF10" s="14" t="b">
        <f>OR(Y9&gt;=30,Y8&gt;=45,Y7&gt;=60,Y6&gt;=240,Y5&gt;=240,Y4&gt;=240)</f>
        <v>0</v>
      </c>
      <c r="AG10" s="14" t="b">
        <f>OR(AA9&gt;=30,AA8&gt;=45,AA7&gt;=60,AA6&gt;=240,AA5&gt;=240,AA4&gt;=240)</f>
        <v>0</v>
      </c>
      <c r="AH10" s="14" t="str">
        <f t="shared" si="5"/>
        <v/>
      </c>
      <c r="AI10" s="14" t="e">
        <f>IF(AK10,0,IF(#REF!="Yes",0,IF(N9="","",IF(N9="PTO / Closed Day",0,IF(OR(N9="Individual 53+",N9="Non-billable 60 min admin block"),60,IF(OR(LEFT(N9,5)="Group",N9="Individual 38-52"),45,30))))))</f>
        <v>#REF!</v>
      </c>
      <c r="AJ10" s="14" t="e">
        <f>IF(AK10,0,IF(OR(#REF!="Yes",N9="",LEFT(N9,3)="PTO"),0,IF(LEFT(N9,5)="Group",0.33*AH10,IF(N9="Individual 16-37",0.63,IF(N9="Individual 38-52",0.82,IF(N9="Individual 53+",1,IF(N9="Family 26+",0.75,IF(N9="Intake",1.15,0))))))))</f>
        <v>#REF!</v>
      </c>
      <c r="AK10" s="14" t="e">
        <f t="shared" si="11"/>
        <v>#REF!</v>
      </c>
      <c r="AL10" s="14"/>
      <c r="AM10" s="14"/>
      <c r="AQ10" s="3" t="s">
        <v>49</v>
      </c>
      <c r="AR10" s="3" t="s">
        <v>107</v>
      </c>
      <c r="AS10" s="3" t="s">
        <v>50</v>
      </c>
      <c r="AT10" s="3" t="s">
        <v>108</v>
      </c>
      <c r="AU10" s="3" t="s">
        <v>132</v>
      </c>
      <c r="AW10" s="118">
        <v>46327</v>
      </c>
      <c r="AX10" s="117">
        <v>1</v>
      </c>
      <c r="AY10" s="117">
        <v>30</v>
      </c>
      <c r="AZ10" s="117"/>
      <c r="BA10" s="117" t="s">
        <v>204</v>
      </c>
      <c r="BB10" s="117" t="s">
        <v>205</v>
      </c>
      <c r="BC10" s="117" t="s">
        <v>206</v>
      </c>
      <c r="BD10" s="117" t="s">
        <v>207</v>
      </c>
      <c r="BE10" s="117" t="s">
        <v>208</v>
      </c>
      <c r="BF10" s="117"/>
      <c r="BG10" s="117"/>
    </row>
    <row r="11" spans="1:59" ht="20.100000000000001" customHeight="1" thickBot="1" x14ac:dyDescent="0.3">
      <c r="A11" s="148" t="str" cm="1">
        <f t="array" ref="A11">IF(INDEX($BF$5:$BF$17,$AZ$2)="","",INDEX($BF$5:$BF$17,$AZ$2))</f>
        <v/>
      </c>
      <c r="B11" s="149"/>
      <c r="C11" s="150"/>
      <c r="D11" s="14"/>
      <c r="E11" s="18">
        <v>0.375</v>
      </c>
      <c r="F11" s="86"/>
      <c r="G11" s="86"/>
      <c r="H11" s="86"/>
      <c r="I11" s="86"/>
      <c r="J11" s="86"/>
      <c r="K11" s="86"/>
      <c r="L11" s="86"/>
      <c r="M11" s="86"/>
      <c r="N11" s="86"/>
      <c r="O11" s="87"/>
      <c r="P11" s="14">
        <v>480</v>
      </c>
      <c r="Q11" s="14" t="s">
        <v>97</v>
      </c>
      <c r="R11" s="14" t="str">
        <f t="shared" si="12"/>
        <v/>
      </c>
      <c r="S11" s="14">
        <f t="shared" si="0"/>
        <v>0</v>
      </c>
      <c r="T11" s="14" t="str">
        <f t="shared" si="6"/>
        <v/>
      </c>
      <c r="U11" s="14">
        <f t="shared" si="1"/>
        <v>0</v>
      </c>
      <c r="V11" s="14" t="str">
        <f t="shared" si="7"/>
        <v/>
      </c>
      <c r="W11" s="14">
        <f t="shared" si="2"/>
        <v>0</v>
      </c>
      <c r="X11" s="14" t="str">
        <f t="shared" si="8"/>
        <v/>
      </c>
      <c r="Y11" s="14">
        <f t="shared" si="3"/>
        <v>0</v>
      </c>
      <c r="Z11" s="14" t="str">
        <f t="shared" si="9"/>
        <v/>
      </c>
      <c r="AA11" s="14">
        <f t="shared" si="4"/>
        <v>0</v>
      </c>
      <c r="AB11" s="14" t="str">
        <f t="shared" si="10"/>
        <v/>
      </c>
      <c r="AC11" s="14" t="b">
        <f>OR(S10&gt;=30,S9&gt;=45,S8&gt;=60,S7&gt;=240,S6&gt;=240,S5&gt;=240,S4&gt;=240)</f>
        <v>0</v>
      </c>
      <c r="AD11" s="14" t="b">
        <f>OR(U10&gt;=30,U9&gt;=45,U8&gt;=60,U7&gt;=240,U6&gt;=240,U5&gt;=240,U4&gt;=240)</f>
        <v>0</v>
      </c>
      <c r="AE11" s="14" t="b">
        <f>OR(W10&gt;=30,W9&gt;=45,W8&gt;=60,W7&gt;=240,W6&gt;=240,W5&gt;=240,W4&gt;=240)</f>
        <v>0</v>
      </c>
      <c r="AF11" s="14" t="b">
        <f>OR(Y10&gt;=30,Y9&gt;=45,Y8&gt;=60,Y7&gt;=240,Y6&gt;=240,Y5&gt;=240,Y4&gt;=240)</f>
        <v>0</v>
      </c>
      <c r="AG11" s="14" t="b">
        <f>OR(AA10&gt;=30,AA9&gt;=45,AA8&gt;=60,AA7&gt;=240,AA6&gt;=240,AA5&gt;=240,AA4&gt;=240)</f>
        <v>0</v>
      </c>
      <c r="AH11" s="14" t="str">
        <f t="shared" si="5"/>
        <v/>
      </c>
      <c r="AI11" s="14" t="e">
        <f>IF(AK11,0,IF(#REF!="Yes",0,IF(N10="","",IF(N10="PTO / Closed Day",0,IF(OR(N10="Individual 53+",N10="Non-billable 60 min admin block"),60,IF(OR(LEFT(N10,5)="Group",N10="Individual 38-52"),45,30))))))</f>
        <v>#REF!</v>
      </c>
      <c r="AJ11" s="14" t="e">
        <f>IF(AK11,0,IF(OR(#REF!="Yes",N10="",LEFT(N10,3)="PTO"),0,IF(LEFT(N10,5)="Group",0.33*AH11,IF(N10="Individual 16-37",0.63,IF(N10="Individual 38-52",0.82,IF(N10="Individual 53+",1,IF(N10="Family 26+",0.75,IF(N10="Intake",1.15,0))))))))</f>
        <v>#REF!</v>
      </c>
      <c r="AK11" s="14" t="e">
        <f t="shared" si="11"/>
        <v>#REF!</v>
      </c>
      <c r="AL11" s="14"/>
      <c r="AM11" s="14"/>
      <c r="AU11" s="3" t="s">
        <v>133</v>
      </c>
      <c r="AW11" s="118">
        <v>46357</v>
      </c>
      <c r="AX11" s="117">
        <v>3</v>
      </c>
      <c r="AY11" s="117">
        <v>31</v>
      </c>
      <c r="AZ11" s="117"/>
      <c r="BA11" s="117" t="s">
        <v>195</v>
      </c>
      <c r="BB11" s="117" t="s">
        <v>196</v>
      </c>
      <c r="BC11" s="117" t="s">
        <v>197</v>
      </c>
      <c r="BD11" s="117" t="s">
        <v>198</v>
      </c>
      <c r="BE11" s="117" t="s">
        <v>209</v>
      </c>
      <c r="BF11" s="117"/>
      <c r="BG11" s="117"/>
    </row>
    <row r="12" spans="1:59" ht="20.100000000000001" customHeight="1" thickTop="1" thickBot="1" x14ac:dyDescent="0.3">
      <c r="A12" s="14"/>
      <c r="B12" s="14"/>
      <c r="C12" s="14"/>
      <c r="D12" s="14"/>
      <c r="E12" s="18">
        <v>0.38541666666666669</v>
      </c>
      <c r="F12" s="86"/>
      <c r="G12" s="86"/>
      <c r="H12" s="86"/>
      <c r="I12" s="86"/>
      <c r="J12" s="86"/>
      <c r="K12" s="86"/>
      <c r="L12" s="86"/>
      <c r="M12" s="86"/>
      <c r="N12" s="86"/>
      <c r="O12" s="87"/>
      <c r="P12" s="14"/>
      <c r="Q12" s="14"/>
      <c r="R12" s="14" t="str">
        <f t="shared" si="12"/>
        <v/>
      </c>
      <c r="S12" s="14">
        <f t="shared" si="0"/>
        <v>0</v>
      </c>
      <c r="T12" s="14" t="str">
        <f t="shared" si="6"/>
        <v/>
      </c>
      <c r="U12" s="14">
        <f t="shared" si="1"/>
        <v>0</v>
      </c>
      <c r="V12" s="14" t="str">
        <f t="shared" si="7"/>
        <v/>
      </c>
      <c r="W12" s="14">
        <f t="shared" si="2"/>
        <v>0</v>
      </c>
      <c r="X12" s="14" t="str">
        <f t="shared" si="8"/>
        <v/>
      </c>
      <c r="Y12" s="14">
        <f t="shared" si="3"/>
        <v>0</v>
      </c>
      <c r="Z12" s="14" t="str">
        <f t="shared" si="9"/>
        <v/>
      </c>
      <c r="AA12" s="14">
        <f t="shared" si="4"/>
        <v>0</v>
      </c>
      <c r="AB12" s="14" t="str">
        <f t="shared" si="10"/>
        <v/>
      </c>
      <c r="AC12" s="14" t="b">
        <f>OR(S11&gt;=30,S10&gt;=45,S9&gt;=60,S8&gt;=240,S7&gt;=240,S6&gt;=240,S5&gt;=240,S4&gt;=240)</f>
        <v>0</v>
      </c>
      <c r="AD12" s="14" t="b">
        <f>OR(U11&gt;=30,U10&gt;=45,U9&gt;=60,U8&gt;=240,U7&gt;=240,U6&gt;=240,U5&gt;=240,U4&gt;=240)</f>
        <v>0</v>
      </c>
      <c r="AE12" s="14" t="b">
        <f>OR(W11&gt;=30,W10&gt;=45,W9&gt;=60,W8&gt;=240,W7&gt;=240,W6&gt;=240,W5&gt;=240,W4&gt;=240)</f>
        <v>0</v>
      </c>
      <c r="AF12" s="14" t="b">
        <f>OR(Y11&gt;=30,Y10&gt;=45,Y9&gt;=60,Y8&gt;=240,Y7&gt;=240,Y6&gt;=240,Y5&gt;=240,Y4&gt;=240)</f>
        <v>0</v>
      </c>
      <c r="AG12" s="14" t="b">
        <f>OR(AA11&gt;=30,AA10&gt;=45,AA9&gt;=60,AA8&gt;=240,AA7&gt;=240,AA6&gt;=240,AA5&gt;=240,AA4&gt;=240)</f>
        <v>0</v>
      </c>
      <c r="AH12" s="14" t="str">
        <f t="shared" si="5"/>
        <v/>
      </c>
      <c r="AI12" s="14" t="e">
        <f>IF(AK12,0,IF(#REF!="Yes",0,IF(N11="","",IF(N11="PTO / Closed Day",0,IF(OR(N11="Individual 53+",N11="Non-billable 60 min admin block"),60,IF(OR(LEFT(N11,5)="Group",N11="Individual 38-52"),45,30))))))</f>
        <v>#REF!</v>
      </c>
      <c r="AJ12" s="14" t="e">
        <f>IF(AK12,0,IF(OR(#REF!="Yes",N11="",LEFT(N11,3)="PTO"),0,IF(LEFT(N11,5)="Group",0.33*AH12,IF(N11="Individual 16-37",0.63,IF(N11="Individual 38-52",0.82,IF(N11="Individual 53+",1,IF(N11="Family 26+",0.75,IF(N11="Intake",1.15,0))))))))</f>
        <v>#REF!</v>
      </c>
      <c r="AK12" s="14" t="e">
        <f t="shared" si="11"/>
        <v>#REF!</v>
      </c>
      <c r="AL12" s="14"/>
      <c r="AM12" s="14"/>
      <c r="AU12" s="3" t="s">
        <v>141</v>
      </c>
      <c r="AW12" s="118">
        <v>46388</v>
      </c>
      <c r="AX12" s="117">
        <v>6</v>
      </c>
      <c r="AY12" s="117">
        <v>31</v>
      </c>
      <c r="AZ12" s="117"/>
      <c r="BA12" s="117" t="s">
        <v>185</v>
      </c>
      <c r="BB12" s="117" t="s">
        <v>186</v>
      </c>
      <c r="BC12" s="117" t="s">
        <v>187</v>
      </c>
      <c r="BD12" s="117" t="s">
        <v>188</v>
      </c>
      <c r="BE12" s="117" t="s">
        <v>189</v>
      </c>
      <c r="BF12" s="119">
        <v>31</v>
      </c>
      <c r="BG12" s="117"/>
    </row>
    <row r="13" spans="1:59" ht="20.100000000000001" customHeight="1" thickTop="1" thickBot="1" x14ac:dyDescent="0.3">
      <c r="A13" s="132" t="s">
        <v>31</v>
      </c>
      <c r="B13" s="133"/>
      <c r="C13" s="134"/>
      <c r="D13" s="14"/>
      <c r="E13" s="18">
        <v>0.39583333333333331</v>
      </c>
      <c r="F13" s="86"/>
      <c r="G13" s="86"/>
      <c r="H13" s="86"/>
      <c r="I13" s="86"/>
      <c r="J13" s="86"/>
      <c r="K13" s="86"/>
      <c r="L13" s="86"/>
      <c r="M13" s="86"/>
      <c r="N13" s="86"/>
      <c r="O13" s="87"/>
      <c r="P13" s="14"/>
      <c r="Q13" s="14"/>
      <c r="R13" s="14" t="str">
        <f t="shared" si="12"/>
        <v/>
      </c>
      <c r="S13" s="14">
        <f t="shared" si="0"/>
        <v>0</v>
      </c>
      <c r="T13" s="14" t="str">
        <f t="shared" si="6"/>
        <v/>
      </c>
      <c r="U13" s="14">
        <f t="shared" si="1"/>
        <v>0</v>
      </c>
      <c r="V13" s="14" t="str">
        <f t="shared" si="7"/>
        <v/>
      </c>
      <c r="W13" s="14">
        <f t="shared" si="2"/>
        <v>0</v>
      </c>
      <c r="X13" s="14" t="str">
        <f t="shared" si="8"/>
        <v/>
      </c>
      <c r="Y13" s="14">
        <f t="shared" si="3"/>
        <v>0</v>
      </c>
      <c r="Z13" s="14" t="str">
        <f t="shared" si="9"/>
        <v/>
      </c>
      <c r="AA13" s="14">
        <f t="shared" si="4"/>
        <v>0</v>
      </c>
      <c r="AB13" s="14" t="str">
        <f t="shared" si="10"/>
        <v/>
      </c>
      <c r="AC13" s="14" t="b">
        <f>OR(S12&gt;=30,S11&gt;=45,S10&gt;=60,S9&gt;=240,S8&gt;=240,S7&gt;=240,S6&gt;=240,S5&gt;=240,S4&gt;=240)</f>
        <v>0</v>
      </c>
      <c r="AD13" s="14" t="b">
        <f>OR(U12&gt;=30,U11&gt;=45,U10&gt;=60,U9&gt;=240,U8&gt;=240,U7&gt;=240,U6&gt;=240,U5&gt;=240,U4&gt;=240)</f>
        <v>0</v>
      </c>
      <c r="AE13" s="14" t="b">
        <f>OR(W12&gt;=30,W11&gt;=45,W10&gt;=60,W9&gt;=240,W8&gt;=240,W7&gt;=240,W6&gt;=240,W5&gt;=240,W4&gt;=240)</f>
        <v>0</v>
      </c>
      <c r="AF13" s="14" t="b">
        <f>OR(Y12&gt;=30,Y11&gt;=45,Y10&gt;=60,Y9&gt;=240,Y8&gt;=240,Y7&gt;=240,Y6&gt;=240,Y5&gt;=240,Y4&gt;=240)</f>
        <v>0</v>
      </c>
      <c r="AG13" s="14" t="b">
        <f>OR(AA12&gt;=30,AA11&gt;=45,AA10&gt;=60,AA9&gt;=240,AA8&gt;=240,AA7&gt;=240,AA6&gt;=240,AA5&gt;=240,AA4&gt;=240)</f>
        <v>0</v>
      </c>
      <c r="AH13" s="14" t="str">
        <f t="shared" si="5"/>
        <v/>
      </c>
      <c r="AI13" s="14" t="e">
        <f>IF(AK13,0,IF(#REF!="Yes",0,IF(N12="","",IF(N12="PTO / Closed Day",0,IF(OR(N12="Individual 53+",N12="Non-billable 60 min admin block"),60,IF(OR(LEFT(N12,5)="Group",N12="Individual 38-52"),45,30))))))</f>
        <v>#REF!</v>
      </c>
      <c r="AJ13" s="14" t="e">
        <f>IF(AK13,0,IF(OR(#REF!="Yes",N12="",LEFT(N12,3)="PTO"),0,IF(LEFT(N12,5)="Group",0.33*AH13,IF(N12="Individual 16-37",0.63,IF(N12="Individual 38-52",0.82,IF(N12="Individual 53+",1,IF(N12="Family 26+",0.75,IF(N12="Intake",1.15,0))))))))</f>
        <v>#REF!</v>
      </c>
      <c r="AK13" s="14" t="e">
        <f t="shared" si="11"/>
        <v>#REF!</v>
      </c>
      <c r="AL13" s="14"/>
      <c r="AM13" s="14"/>
      <c r="AU13" s="3" t="s">
        <v>142</v>
      </c>
      <c r="AW13" s="118">
        <v>46419</v>
      </c>
      <c r="AX13" s="117">
        <v>2</v>
      </c>
      <c r="AY13" s="117">
        <v>28</v>
      </c>
      <c r="AZ13" s="117"/>
      <c r="BA13" s="117" t="s">
        <v>169</v>
      </c>
      <c r="BB13" s="117" t="s">
        <v>175</v>
      </c>
      <c r="BC13" s="117" t="s">
        <v>181</v>
      </c>
      <c r="BD13" s="117" t="s">
        <v>182</v>
      </c>
      <c r="BE13" s="117">
        <v>28</v>
      </c>
      <c r="BF13" s="117"/>
      <c r="BG13" s="117"/>
    </row>
    <row r="14" spans="1:59" ht="20.100000000000001" customHeight="1" x14ac:dyDescent="0.25">
      <c r="A14" s="19" t="s">
        <v>99</v>
      </c>
      <c r="B14" s="135" t="s">
        <v>32</v>
      </c>
      <c r="C14" s="136"/>
      <c r="D14" s="14"/>
      <c r="E14" s="18">
        <v>0.40625</v>
      </c>
      <c r="F14" s="86"/>
      <c r="G14" s="86"/>
      <c r="H14" s="86"/>
      <c r="I14" s="86"/>
      <c r="J14" s="86"/>
      <c r="K14" s="86"/>
      <c r="L14" s="86"/>
      <c r="M14" s="86"/>
      <c r="N14" s="86"/>
      <c r="O14" s="87"/>
      <c r="P14" s="14"/>
      <c r="Q14" s="14"/>
      <c r="R14" s="14" t="str">
        <f t="shared" si="12"/>
        <v/>
      </c>
      <c r="S14" s="14">
        <f t="shared" si="0"/>
        <v>0</v>
      </c>
      <c r="T14" s="14" t="str">
        <f t="shared" si="6"/>
        <v/>
      </c>
      <c r="U14" s="14">
        <f t="shared" si="1"/>
        <v>0</v>
      </c>
      <c r="V14" s="14" t="str">
        <f t="shared" si="7"/>
        <v/>
      </c>
      <c r="W14" s="14">
        <f t="shared" si="2"/>
        <v>0</v>
      </c>
      <c r="X14" s="14" t="str">
        <f t="shared" si="8"/>
        <v/>
      </c>
      <c r="Y14" s="14">
        <f t="shared" si="3"/>
        <v>0</v>
      </c>
      <c r="Z14" s="14" t="str">
        <f t="shared" si="9"/>
        <v/>
      </c>
      <c r="AA14" s="14">
        <f t="shared" si="4"/>
        <v>0</v>
      </c>
      <c r="AB14" s="14" t="str">
        <f t="shared" si="10"/>
        <v/>
      </c>
      <c r="AC14" s="14" t="b">
        <f>OR(S13&gt;=30,S12&gt;=45,S11&gt;=60,S10&gt;=240,S9&gt;=240,S8&gt;=240,S7&gt;=240,S6&gt;=240,S5&gt;=240,S4&gt;=240)</f>
        <v>0</v>
      </c>
      <c r="AD14" s="14" t="b">
        <f>OR(U13&gt;=30,U12&gt;=45,U11&gt;=60,U10&gt;=240,U9&gt;=240,U8&gt;=240,U7&gt;=240,U6&gt;=240,U5&gt;=240,U4&gt;=240)</f>
        <v>0</v>
      </c>
      <c r="AE14" s="14" t="b">
        <f>OR(W13&gt;=30,W12&gt;=45,W11&gt;=60,W10&gt;=240,W9&gt;=240,W8&gt;=240,W7&gt;=240,W6&gt;=240,W5&gt;=240,W4&gt;=240)</f>
        <v>0</v>
      </c>
      <c r="AF14" s="14" t="b">
        <f>OR(Y13&gt;=30,Y12&gt;=45,Y11&gt;=60,Y10&gt;=240,Y9&gt;=240,Y8&gt;=240,Y7&gt;=240,Y6&gt;=240,Y5&gt;=240,Y4&gt;=240)</f>
        <v>0</v>
      </c>
      <c r="AG14" s="14" t="b">
        <f>OR(AA13&gt;=30,AA12&gt;=45,AA11&gt;=60,AA10&gt;=240,AA9&gt;=240,AA8&gt;=240,AA7&gt;=240,AA6&gt;=240,AA5&gt;=240,AA4&gt;=240)</f>
        <v>0</v>
      </c>
      <c r="AH14" s="14" t="str">
        <f t="shared" si="5"/>
        <v/>
      </c>
      <c r="AI14" s="14" t="e">
        <f>IF(AK14,0,IF(#REF!="Yes",0,IF(N13="","",IF(N13="PTO / Closed Day",0,IF(OR(N13="Individual 53+",N13="Non-billable 60 min admin block"),60,IF(OR(LEFT(N13,5)="Group",N13="Individual 38-52"),45,30))))))</f>
        <v>#REF!</v>
      </c>
      <c r="AJ14" s="14" t="e">
        <f>IF(AK14,0,IF(OR(#REF!="Yes",N13="",LEFT(N13,3)="PTO"),0,IF(LEFT(N13,5)="Group",0.33*AH14,IF(N13="Individual 16-37",0.63,IF(N13="Individual 38-52",0.82,IF(N13="Individual 53+",1,IF(N13="Family 26+",0.75,IF(N13="Intake",1.15,0))))))))</f>
        <v>#REF!</v>
      </c>
      <c r="AK14" s="14" t="e">
        <f t="shared" si="11"/>
        <v>#REF!</v>
      </c>
      <c r="AL14" s="14"/>
      <c r="AM14" s="14"/>
      <c r="AU14" s="3" t="s">
        <v>143</v>
      </c>
      <c r="AW14" s="118">
        <v>46447</v>
      </c>
      <c r="AX14" s="117">
        <v>2</v>
      </c>
      <c r="AY14" s="117">
        <v>31</v>
      </c>
      <c r="AZ14" s="117"/>
      <c r="BA14" s="117" t="s">
        <v>169</v>
      </c>
      <c r="BB14" s="117" t="s">
        <v>175</v>
      </c>
      <c r="BC14" s="117" t="s">
        <v>181</v>
      </c>
      <c r="BD14" s="117" t="s">
        <v>182</v>
      </c>
      <c r="BE14" s="117" t="s">
        <v>210</v>
      </c>
      <c r="BF14" s="117"/>
      <c r="BG14" s="117"/>
    </row>
    <row r="15" spans="1:59" ht="20.100000000000001" customHeight="1" x14ac:dyDescent="0.25">
      <c r="A15" s="20" t="s">
        <v>100</v>
      </c>
      <c r="B15" s="156" t="str">
        <f>IFERROR(IF(_xlfn.XLOOKUP(B14,$AQ$1:$AQ$10,$AR$1:$AR$10,"")="","",_xlfn.XLOOKUP(B14,$AQ$1:$AQ$10,$AR$1:$AR$10,"")),"")</f>
        <v>10th First full day for students</v>
      </c>
      <c r="C15" s="157"/>
      <c r="D15" s="14"/>
      <c r="E15" s="18">
        <v>0.41666666666666669</v>
      </c>
      <c r="F15" s="86"/>
      <c r="G15" s="86"/>
      <c r="H15" s="86"/>
      <c r="I15" s="86"/>
      <c r="J15" s="86"/>
      <c r="K15" s="86"/>
      <c r="L15" s="86"/>
      <c r="M15" s="86"/>
      <c r="N15" s="86"/>
      <c r="O15" s="87"/>
      <c r="P15" s="14"/>
      <c r="Q15" s="14"/>
      <c r="R15" s="14" t="str">
        <f t="shared" si="12"/>
        <v/>
      </c>
      <c r="S15" s="14">
        <f t="shared" si="0"/>
        <v>0</v>
      </c>
      <c r="T15" s="14" t="str">
        <f t="shared" si="6"/>
        <v/>
      </c>
      <c r="U15" s="14">
        <f t="shared" si="1"/>
        <v>0</v>
      </c>
      <c r="V15" s="14" t="str">
        <f t="shared" si="7"/>
        <v/>
      </c>
      <c r="W15" s="14">
        <f t="shared" si="2"/>
        <v>0</v>
      </c>
      <c r="X15" s="14" t="str">
        <f t="shared" si="8"/>
        <v/>
      </c>
      <c r="Y15" s="14">
        <f t="shared" si="3"/>
        <v>0</v>
      </c>
      <c r="Z15" s="14" t="str">
        <f t="shared" si="9"/>
        <v/>
      </c>
      <c r="AA15" s="14">
        <f t="shared" si="4"/>
        <v>0</v>
      </c>
      <c r="AB15" s="14" t="str">
        <f t="shared" si="10"/>
        <v/>
      </c>
      <c r="AC15" s="14" t="b">
        <f>OR(S14&gt;=30,S13&gt;=45,S12&gt;=60,S11&gt;=240,S10&gt;=240,S9&gt;=240,S8&gt;=240,S7&gt;=240,S6&gt;=240,S5&gt;=240,S4&gt;=240)</f>
        <v>0</v>
      </c>
      <c r="AD15" s="14" t="b">
        <f>OR(U14&gt;=30,U13&gt;=45,U12&gt;=60,U11&gt;=240,U10&gt;=240,U9&gt;=240,U8&gt;=240,U7&gt;=240,U6&gt;=240,U5&gt;=240,U4&gt;=240)</f>
        <v>0</v>
      </c>
      <c r="AE15" s="14" t="b">
        <f>OR(W14&gt;=30,W13&gt;=45,W12&gt;=60,W11&gt;=240,W10&gt;=240,W9&gt;=240,W8&gt;=240,W7&gt;=240,W6&gt;=240,W5&gt;=240,W4&gt;=240)</f>
        <v>0</v>
      </c>
      <c r="AF15" s="14" t="b">
        <f>OR(Y14&gt;=30,Y13&gt;=45,Y12&gt;=60,Y11&gt;=240,Y10&gt;=240,Y9&gt;=240,Y8&gt;=240,Y7&gt;=240,Y6&gt;=240,Y5&gt;=240,Y4&gt;=240)</f>
        <v>0</v>
      </c>
      <c r="AG15" s="14" t="b">
        <f>OR(AA14&gt;=30,AA13&gt;=45,AA12&gt;=60,AA11&gt;=240,AA10&gt;=240,AA9&gt;=240,AA8&gt;=240,AA7&gt;=240,AA6&gt;=240,AA5&gt;=240,AA4&gt;=240)</f>
        <v>0</v>
      </c>
      <c r="AH15" s="14" t="str">
        <f t="shared" si="5"/>
        <v/>
      </c>
      <c r="AI15" s="14" t="e">
        <f>IF(AK15,0,IF(#REF!="Yes",0,IF(N14="","",IF(N14="PTO / Closed Day",0,IF(OR(N14="Individual 53+",N14="Non-billable 60 min admin block"),60,IF(OR(LEFT(N14,5)="Group",N14="Individual 38-52"),45,30))))))</f>
        <v>#REF!</v>
      </c>
      <c r="AJ15" s="14" t="e">
        <f>IF(AK15,0,IF(OR(#REF!="Yes",N14="",LEFT(N14,3)="PTO"),0,IF(LEFT(N14,5)="Group",0.33*AH15,IF(N14="Individual 16-37",0.63,IF(N14="Individual 38-52",0.82,IF(N14="Individual 53+",1,IF(N14="Family 26+",0.75,IF(N14="Intake",1.15,0))))))))</f>
        <v>#REF!</v>
      </c>
      <c r="AK15" s="14" t="e">
        <f t="shared" si="11"/>
        <v>#REF!</v>
      </c>
      <c r="AL15" s="14"/>
      <c r="AM15" s="14"/>
      <c r="AU15" s="3" t="s">
        <v>144</v>
      </c>
      <c r="AW15" s="118">
        <v>46478</v>
      </c>
      <c r="AX15" s="117">
        <v>5</v>
      </c>
      <c r="AY15" s="117">
        <v>30</v>
      </c>
      <c r="AZ15" s="117"/>
      <c r="BA15" s="117" t="s">
        <v>183</v>
      </c>
      <c r="BB15" s="117" t="s">
        <v>200</v>
      </c>
      <c r="BC15" s="117" t="s">
        <v>201</v>
      </c>
      <c r="BD15" s="117" t="s">
        <v>202</v>
      </c>
      <c r="BE15" s="117" t="s">
        <v>211</v>
      </c>
      <c r="BF15" s="117"/>
      <c r="BG15" s="117"/>
    </row>
    <row r="16" spans="1:59" ht="20.100000000000001" customHeight="1" x14ac:dyDescent="0.25">
      <c r="A16" s="21"/>
      <c r="B16" s="156" t="str">
        <f>IFERROR(IF(_xlfn.XLOOKUP(B14,$AQ$1:$AQ$10,$AS$1:$AS$10,"")="","",_xlfn.XLOOKUP(B14,$AQ$1:$AQ$10,$AS$1:$AS$10,"")),"")</f>
        <v/>
      </c>
      <c r="C16" s="157"/>
      <c r="D16" s="14"/>
      <c r="E16" s="18">
        <v>0.42708333333333331</v>
      </c>
      <c r="F16" s="86"/>
      <c r="G16" s="86"/>
      <c r="H16" s="86"/>
      <c r="I16" s="86"/>
      <c r="J16" s="86"/>
      <c r="K16" s="86"/>
      <c r="L16" s="86"/>
      <c r="M16" s="86"/>
      <c r="N16" s="86"/>
      <c r="O16" s="87"/>
      <c r="P16" s="14"/>
      <c r="Q16" s="14"/>
      <c r="R16" s="14" t="str">
        <f t="shared" si="12"/>
        <v/>
      </c>
      <c r="S16" s="14">
        <f t="shared" si="0"/>
        <v>0</v>
      </c>
      <c r="T16" s="14" t="str">
        <f t="shared" si="6"/>
        <v/>
      </c>
      <c r="U16" s="14">
        <f t="shared" si="1"/>
        <v>0</v>
      </c>
      <c r="V16" s="14" t="str">
        <f t="shared" si="7"/>
        <v/>
      </c>
      <c r="W16" s="14">
        <f t="shared" si="2"/>
        <v>0</v>
      </c>
      <c r="X16" s="14" t="str">
        <f t="shared" si="8"/>
        <v/>
      </c>
      <c r="Y16" s="14">
        <f t="shared" si="3"/>
        <v>0</v>
      </c>
      <c r="Z16" s="14" t="str">
        <f t="shared" si="9"/>
        <v/>
      </c>
      <c r="AA16" s="14">
        <f t="shared" si="4"/>
        <v>0</v>
      </c>
      <c r="AB16" s="14" t="str">
        <f t="shared" si="10"/>
        <v/>
      </c>
      <c r="AC16" s="14" t="b">
        <f>OR(S15&gt;=30,S14&gt;=45,S13&gt;=60,S12&gt;=240,S11&gt;=240,S10&gt;=240,S9&gt;=240,S8&gt;=240,S7&gt;=240,S6&gt;=240,S5&gt;=240,S4&gt;=240)</f>
        <v>0</v>
      </c>
      <c r="AD16" s="14" t="b">
        <f>OR(U15&gt;=30,U14&gt;=45,U13&gt;=60,U12&gt;=240,U11&gt;=240,U10&gt;=240,U9&gt;=240,U8&gt;=240,U7&gt;=240,U6&gt;=240,U5&gt;=240,U4&gt;=240)</f>
        <v>0</v>
      </c>
      <c r="AE16" s="14" t="b">
        <f>OR(W15&gt;=30,W14&gt;=45,W13&gt;=60,W12&gt;=240,W11&gt;=240,W10&gt;=240,W9&gt;=240,W8&gt;=240,W7&gt;=240,W6&gt;=240,W5&gt;=240,W4&gt;=240)</f>
        <v>0</v>
      </c>
      <c r="AF16" s="14" t="b">
        <f>OR(Y15&gt;=30,Y14&gt;=45,Y13&gt;=60,Y12&gt;=240,Y11&gt;=240,Y10&gt;=240,Y9&gt;=240,Y8&gt;=240,Y7&gt;=240,Y6&gt;=240,Y5&gt;=240,Y4&gt;=240)</f>
        <v>0</v>
      </c>
      <c r="AG16" s="14" t="b">
        <f>OR(AA15&gt;=30,AA14&gt;=45,AA13&gt;=60,AA12&gt;=240,AA11&gt;=240,AA10&gt;=240,AA9&gt;=240,AA8&gt;=240,AA7&gt;=240,AA6&gt;=240,AA5&gt;=240,AA4&gt;=240)</f>
        <v>0</v>
      </c>
      <c r="AH16" s="14" t="str">
        <f t="shared" si="5"/>
        <v/>
      </c>
      <c r="AI16" s="14" t="e">
        <f>IF(AK16,0,IF(#REF!="Yes",0,IF(N15="","",IF(N15="PTO / Closed Day",0,IF(OR(N15="Individual 53+",N15="Non-billable 60 min admin block"),60,IF(OR(LEFT(N15,5)="Group",N15="Individual 38-52"),45,30))))))</f>
        <v>#REF!</v>
      </c>
      <c r="AJ16" s="14" t="e">
        <f>IF(AK16,0,IF(OR(#REF!="Yes",N15="",LEFT(N15,3)="PTO"),0,IF(LEFT(N15,5)="Group",0.33*AH16,IF(N15="Individual 16-37",0.63,IF(N15="Individual 38-52",0.82,IF(N15="Individual 53+",1,IF(N15="Family 26+",0.75,IF(N15="Intake",1.15,0))))))))</f>
        <v>#REF!</v>
      </c>
      <c r="AK16" s="14" t="e">
        <f t="shared" si="11"/>
        <v>#REF!</v>
      </c>
      <c r="AL16" s="14"/>
      <c r="AM16" s="14"/>
      <c r="AU16" s="3" t="s">
        <v>145</v>
      </c>
      <c r="AW16" s="118">
        <v>46508</v>
      </c>
      <c r="AX16" s="117">
        <v>7</v>
      </c>
      <c r="AY16" s="117">
        <v>31</v>
      </c>
      <c r="AZ16" s="117"/>
      <c r="BA16" s="119">
        <v>1</v>
      </c>
      <c r="BB16" s="117" t="s">
        <v>176</v>
      </c>
      <c r="BC16" s="117" t="s">
        <v>177</v>
      </c>
      <c r="BD16" s="117" t="s">
        <v>178</v>
      </c>
      <c r="BE16" s="117" t="s">
        <v>179</v>
      </c>
      <c r="BF16" s="117" t="s">
        <v>180</v>
      </c>
      <c r="BG16" s="117"/>
    </row>
    <row r="17" spans="1:59" ht="20.100000000000001" customHeight="1" thickBot="1" x14ac:dyDescent="0.3">
      <c r="A17" s="22"/>
      <c r="B17" s="158" t="str">
        <f>IFERROR(IF(_xlfn.XLOOKUP(B14,$AQ$1:$AQ$10,$AT$1:$AT$10,"")="","",_xlfn.XLOOKUP(B14,$AQ$1:$AQ$10,$AT$1:$AT$10,"")),"")</f>
        <v/>
      </c>
      <c r="C17" s="159"/>
      <c r="D17" s="14"/>
      <c r="E17" s="18">
        <v>0.4375</v>
      </c>
      <c r="F17" s="86"/>
      <c r="G17" s="86"/>
      <c r="H17" s="86"/>
      <c r="I17" s="86"/>
      <c r="J17" s="86"/>
      <c r="K17" s="86"/>
      <c r="L17" s="86"/>
      <c r="M17" s="86"/>
      <c r="N17" s="86"/>
      <c r="O17" s="87"/>
      <c r="P17" s="14"/>
      <c r="Q17" s="14"/>
      <c r="R17" s="14" t="str">
        <f t="shared" si="12"/>
        <v/>
      </c>
      <c r="S17" s="14">
        <f t="shared" si="0"/>
        <v>0</v>
      </c>
      <c r="T17" s="14" t="str">
        <f t="shared" si="6"/>
        <v/>
      </c>
      <c r="U17" s="14">
        <f t="shared" si="1"/>
        <v>0</v>
      </c>
      <c r="V17" s="14" t="str">
        <f t="shared" si="7"/>
        <v/>
      </c>
      <c r="W17" s="14">
        <f t="shared" si="2"/>
        <v>0</v>
      </c>
      <c r="X17" s="14" t="str">
        <f t="shared" si="8"/>
        <v/>
      </c>
      <c r="Y17" s="14">
        <f t="shared" si="3"/>
        <v>0</v>
      </c>
      <c r="Z17" s="14" t="str">
        <f t="shared" si="9"/>
        <v/>
      </c>
      <c r="AA17" s="14">
        <f t="shared" si="4"/>
        <v>0</v>
      </c>
      <c r="AB17" s="14" t="str">
        <f t="shared" si="10"/>
        <v/>
      </c>
      <c r="AC17" s="14" t="b">
        <f>OR(S16&gt;=30,S15&gt;=45,S14&gt;=60,S13&gt;=240,S12&gt;=240,S11&gt;=240,S10&gt;=240,S9&gt;=240,S8&gt;=240,S7&gt;=240,S6&gt;=240,S5&gt;=240,S4&gt;=240)</f>
        <v>0</v>
      </c>
      <c r="AD17" s="14" t="b">
        <f>OR(U16&gt;=30,U15&gt;=45,U14&gt;=60,U13&gt;=240,U12&gt;=240,U11&gt;=240,U10&gt;=240,U9&gt;=240,U8&gt;=240,U7&gt;=240,U6&gt;=240,U5&gt;=240,U4&gt;=240)</f>
        <v>0</v>
      </c>
      <c r="AE17" s="14" t="b">
        <f>OR(W16&gt;=30,W15&gt;=45,W14&gt;=60,W13&gt;=240,W12&gt;=240,W11&gt;=240,W10&gt;=240,W9&gt;=240,W8&gt;=240,W7&gt;=240,W6&gt;=240,W5&gt;=240,W4&gt;=240)</f>
        <v>0</v>
      </c>
      <c r="AF17" s="14" t="b">
        <f>OR(Y16&gt;=30,Y15&gt;=45,Y14&gt;=60,Y13&gt;=240,Y12&gt;=240,Y11&gt;=240,Y10&gt;=240,Y9&gt;=240,Y8&gt;=240,Y7&gt;=240,Y6&gt;=240,Y5&gt;=240,Y4&gt;=240)</f>
        <v>0</v>
      </c>
      <c r="AG17" s="14" t="b">
        <f>OR(AA16&gt;=30,AA15&gt;=45,AA14&gt;=60,AA13&gt;=240,AA12&gt;=240,AA11&gt;=240,AA10&gt;=240,AA9&gt;=240,AA8&gt;=240,AA7&gt;=240,AA6&gt;=240,AA5&gt;=240,AA4&gt;=240)</f>
        <v>0</v>
      </c>
      <c r="AH17" s="14" t="str">
        <f t="shared" si="5"/>
        <v/>
      </c>
      <c r="AI17" s="14" t="e">
        <f>IF(AK17,0,IF(#REF!="Yes",0,IF(N16="","",IF(N16="PTO / Closed Day",0,IF(OR(N16="Individual 53+",N16="Non-billable 60 min admin block"),60,IF(OR(LEFT(N16,5)="Group",N16="Individual 38-52"),45,30))))))</f>
        <v>#REF!</v>
      </c>
      <c r="AJ17" s="14" t="e">
        <f>IF(AK17,0,IF(OR(#REF!="Yes",N16="",LEFT(N16,3)="PTO"),0,IF(LEFT(N16,5)="Group",0.33*AH17,IF(N16="Individual 16-37",0.63,IF(N16="Individual 38-52",0.82,IF(N16="Individual 53+",1,IF(N16="Family 26+",0.75,IF(N16="Intake",1.15,0))))))))</f>
        <v>#REF!</v>
      </c>
      <c r="AK17" s="14" t="e">
        <f t="shared" si="11"/>
        <v>#REF!</v>
      </c>
      <c r="AL17" s="14"/>
      <c r="AM17" s="14"/>
      <c r="AU17" s="3" t="s">
        <v>146</v>
      </c>
      <c r="AW17" s="118">
        <v>46539</v>
      </c>
      <c r="AX17" s="117">
        <v>3</v>
      </c>
      <c r="AY17" s="117">
        <v>30</v>
      </c>
      <c r="AZ17" s="117"/>
      <c r="BA17" s="117" t="s">
        <v>195</v>
      </c>
      <c r="BB17" s="117" t="s">
        <v>196</v>
      </c>
      <c r="BC17" s="117" t="s">
        <v>197</v>
      </c>
      <c r="BD17" s="117" t="s">
        <v>198</v>
      </c>
      <c r="BE17" s="117" t="s">
        <v>199</v>
      </c>
      <c r="BF17" s="117"/>
      <c r="BG17" s="117"/>
    </row>
    <row r="18" spans="1:59" ht="20.100000000000001" customHeight="1" thickTop="1" thickBot="1" x14ac:dyDescent="0.3">
      <c r="A18" s="14"/>
      <c r="B18" s="14"/>
      <c r="C18" s="14"/>
      <c r="D18" s="14"/>
      <c r="E18" s="18">
        <v>0.44791666666666669</v>
      </c>
      <c r="F18" s="86"/>
      <c r="G18" s="86"/>
      <c r="H18" s="86"/>
      <c r="I18" s="86"/>
      <c r="J18" s="86"/>
      <c r="K18" s="86"/>
      <c r="L18" s="86"/>
      <c r="M18" s="86"/>
      <c r="N18" s="86"/>
      <c r="O18" s="87"/>
      <c r="P18" s="14"/>
      <c r="Q18" s="14"/>
      <c r="R18" s="14" t="str">
        <f t="shared" si="12"/>
        <v/>
      </c>
      <c r="S18" s="14">
        <f t="shared" si="0"/>
        <v>0</v>
      </c>
      <c r="T18" s="14" t="str">
        <f t="shared" si="6"/>
        <v/>
      </c>
      <c r="U18" s="14">
        <f t="shared" si="1"/>
        <v>0</v>
      </c>
      <c r="V18" s="14" t="str">
        <f t="shared" si="7"/>
        <v/>
      </c>
      <c r="W18" s="14">
        <f t="shared" si="2"/>
        <v>0</v>
      </c>
      <c r="X18" s="14" t="str">
        <f t="shared" si="8"/>
        <v/>
      </c>
      <c r="Y18" s="14">
        <f t="shared" si="3"/>
        <v>0</v>
      </c>
      <c r="Z18" s="14" t="str">
        <f t="shared" si="9"/>
        <v/>
      </c>
      <c r="AA18" s="14">
        <f t="shared" si="4"/>
        <v>0</v>
      </c>
      <c r="AB18" s="14" t="str">
        <f t="shared" si="10"/>
        <v/>
      </c>
      <c r="AC18" s="14" t="b">
        <f>OR(S17&gt;=30,S16&gt;=45,S15&gt;=60,S14&gt;=240,S13&gt;=240,S12&gt;=240,S11&gt;=240,S10&gt;=240,S9&gt;=240,S8&gt;=240,S7&gt;=240,S6&gt;=240,S5&gt;=240,S4&gt;=240)</f>
        <v>0</v>
      </c>
      <c r="AD18" s="14" t="b">
        <f>OR(U17&gt;=30,U16&gt;=45,U15&gt;=60,U14&gt;=240,U13&gt;=240,U12&gt;=240,U11&gt;=240,U10&gt;=240,U9&gt;=240,U8&gt;=240,U7&gt;=240,U6&gt;=240,U5&gt;=240,U4&gt;=240)</f>
        <v>0</v>
      </c>
      <c r="AE18" s="14" t="b">
        <f>OR(W17&gt;=30,W16&gt;=45,W15&gt;=60,W14&gt;=240,W13&gt;=240,W12&gt;=240,W11&gt;=240,W10&gt;=240,W9&gt;=240,W8&gt;=240,W7&gt;=240,W6&gt;=240,W5&gt;=240,W4&gt;=240)</f>
        <v>0</v>
      </c>
      <c r="AF18" s="14" t="b">
        <f>OR(Y17&gt;=30,Y16&gt;=45,Y15&gt;=60,Y14&gt;=240,Y13&gt;=240,Y12&gt;=240,Y11&gt;=240,Y10&gt;=240,Y9&gt;=240,Y8&gt;=240,Y7&gt;=240,Y6&gt;=240,Y5&gt;=240,Y4&gt;=240)</f>
        <v>0</v>
      </c>
      <c r="AG18" s="14" t="b">
        <f>OR(AA17&gt;=30,AA16&gt;=45,AA15&gt;=60,AA14&gt;=240,AA13&gt;=240,AA12&gt;=240,AA11&gt;=240,AA10&gt;=240,AA9&gt;=240,AA8&gt;=240,AA7&gt;=240,AA6&gt;=240,AA5&gt;=240,AA4&gt;=240)</f>
        <v>0</v>
      </c>
      <c r="AH18" s="14" t="str">
        <f t="shared" si="5"/>
        <v/>
      </c>
      <c r="AI18" s="14" t="e">
        <f>IF(AK18,0,IF(#REF!="Yes",0,IF(N17="","",IF(N17="PTO / Closed Day",0,IF(OR(N17="Individual 53+",N17="Non-billable 60 min admin block"),60,IF(OR(LEFT(N17,5)="Group",N17="Individual 38-52"),45,30))))))</f>
        <v>#REF!</v>
      </c>
      <c r="AJ18" s="14" t="e">
        <f>IF(AK18,0,IF(OR(#REF!="Yes",N17="",LEFT(N17,3)="PTO"),0,IF(LEFT(N17,5)="Group",0.33*AH18,IF(N17="Individual 16-37",0.63,IF(N17="Individual 38-52",0.82,IF(N17="Individual 53+",1,IF(N17="Family 26+",0.75,IF(N17="Intake",1.15,0))))))))</f>
        <v>#REF!</v>
      </c>
      <c r="AK18" s="14" t="e">
        <f t="shared" si="11"/>
        <v>#REF!</v>
      </c>
      <c r="AL18" s="14"/>
      <c r="AM18" s="14"/>
      <c r="AU18" s="3" t="s">
        <v>147</v>
      </c>
    </row>
    <row r="19" spans="1:59" ht="20.100000000000001" customHeight="1" thickTop="1" thickBot="1" x14ac:dyDescent="0.3">
      <c r="A19" s="123" t="s">
        <v>118</v>
      </c>
      <c r="B19" s="124"/>
      <c r="C19" s="125"/>
      <c r="D19" s="14"/>
      <c r="E19" s="18">
        <v>0.45833333333333331</v>
      </c>
      <c r="F19" s="86"/>
      <c r="G19" s="86"/>
      <c r="H19" s="86"/>
      <c r="I19" s="86"/>
      <c r="J19" s="86"/>
      <c r="K19" s="86"/>
      <c r="L19" s="86"/>
      <c r="M19" s="86"/>
      <c r="N19" s="86"/>
      <c r="O19" s="87"/>
      <c r="P19" s="14"/>
      <c r="Q19" s="14"/>
      <c r="R19" s="14" t="str">
        <f t="shared" si="12"/>
        <v/>
      </c>
      <c r="S19" s="14">
        <f t="shared" si="0"/>
        <v>0</v>
      </c>
      <c r="T19" s="14" t="str">
        <f t="shared" si="6"/>
        <v/>
      </c>
      <c r="U19" s="14">
        <f t="shared" si="1"/>
        <v>0</v>
      </c>
      <c r="V19" s="14" t="str">
        <f t="shared" si="7"/>
        <v/>
      </c>
      <c r="W19" s="14">
        <f t="shared" si="2"/>
        <v>0</v>
      </c>
      <c r="X19" s="14" t="str">
        <f t="shared" si="8"/>
        <v/>
      </c>
      <c r="Y19" s="14">
        <f t="shared" si="3"/>
        <v>0</v>
      </c>
      <c r="Z19" s="14" t="str">
        <f t="shared" si="9"/>
        <v/>
      </c>
      <c r="AA19" s="14">
        <f t="shared" si="4"/>
        <v>0</v>
      </c>
      <c r="AB19" s="14" t="str">
        <f t="shared" si="10"/>
        <v/>
      </c>
      <c r="AC19" s="14" t="b">
        <f>OR(S18&gt;=30,S17&gt;=45,S16&gt;=60,S15&gt;=240,S14&gt;=240,S13&gt;=240,S12&gt;=240,S11&gt;=240,S10&gt;=240,S9&gt;=240,S8&gt;=240,S7&gt;=240,S6&gt;=240,S5&gt;=240,S4&gt;=240)</f>
        <v>0</v>
      </c>
      <c r="AD19" s="14" t="b">
        <f>OR(U18&gt;=30,U17&gt;=45,U16&gt;=60,U15&gt;=240,U14&gt;=240,U13&gt;=240,U12&gt;=240,U11&gt;=240,U10&gt;=240,U9&gt;=240,U8&gt;=240,U7&gt;=240,U6&gt;=240,U5&gt;=240,U4&gt;=240)</f>
        <v>0</v>
      </c>
      <c r="AE19" s="14" t="b">
        <f>OR(W18&gt;=30,W17&gt;=45,W16&gt;=60,W15&gt;=240,W14&gt;=240,W13&gt;=240,W12&gt;=240,W11&gt;=240,W10&gt;=240,W9&gt;=240,W8&gt;=240,W7&gt;=240,W6&gt;=240,W5&gt;=240,W4&gt;=240)</f>
        <v>0</v>
      </c>
      <c r="AF19" s="14" t="b">
        <f>OR(Y18&gt;=30,Y17&gt;=45,Y16&gt;=60,Y15&gt;=240,Y14&gt;=240,Y13&gt;=240,Y12&gt;=240,Y11&gt;=240,Y10&gt;=240,Y9&gt;=240,Y8&gt;=240,Y7&gt;=240,Y6&gt;=240,Y5&gt;=240,Y4&gt;=240)</f>
        <v>0</v>
      </c>
      <c r="AG19" s="14" t="b">
        <f>OR(AA18&gt;=30,AA17&gt;=45,AA16&gt;=60,AA15&gt;=240,AA14&gt;=240,AA13&gt;=240,AA12&gt;=240,AA11&gt;=240,AA10&gt;=240,AA9&gt;=240,AA8&gt;=240,AA7&gt;=240,AA6&gt;=240,AA5&gt;=240,AA4&gt;=240)</f>
        <v>0</v>
      </c>
      <c r="AH19" s="14" t="str">
        <f t="shared" si="5"/>
        <v/>
      </c>
      <c r="AI19" s="14" t="e">
        <f>IF(AK19,0,IF(#REF!="Yes",0,IF(N18="","",IF(N18="PTO / Closed Day",0,IF(OR(N18="Individual 53+",N18="Non-billable 60 min admin block"),60,IF(OR(LEFT(N18,5)="Group",N18="Individual 38-52"),45,30))))))</f>
        <v>#REF!</v>
      </c>
      <c r="AJ19" s="14" t="e">
        <f>IF(AK19,0,IF(OR(#REF!="Yes",N18="",LEFT(N18,3)="PTO"),0,IF(LEFT(N18,5)="Group",0.33*AH19,IF(N18="Individual 16-37",0.63,IF(N18="Individual 38-52",0.82,IF(N18="Individual 53+",1,IF(N18="Family 26+",0.75,IF(N18="Intake",1.15,0))))))))</f>
        <v>#REF!</v>
      </c>
      <c r="AK19" s="14" t="e">
        <f t="shared" si="11"/>
        <v>#REF!</v>
      </c>
      <c r="AL19" s="14"/>
      <c r="AM19" s="14"/>
      <c r="AU19" s="3" t="s">
        <v>148</v>
      </c>
    </row>
    <row r="20" spans="1:59" ht="20.100000000000001" customHeight="1" thickBot="1" x14ac:dyDescent="0.3">
      <c r="A20" s="111"/>
      <c r="B20" s="112" t="s">
        <v>116</v>
      </c>
      <c r="C20" s="113" t="s">
        <v>117</v>
      </c>
      <c r="D20" s="14"/>
      <c r="E20" s="18">
        <v>0.46875</v>
      </c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14"/>
      <c r="Q20" s="14"/>
      <c r="R20" s="14" t="str">
        <f t="shared" si="12"/>
        <v/>
      </c>
      <c r="S20" s="14">
        <f t="shared" si="0"/>
        <v>0</v>
      </c>
      <c r="T20" s="14" t="str">
        <f t="shared" si="6"/>
        <v/>
      </c>
      <c r="U20" s="14">
        <f t="shared" si="1"/>
        <v>0</v>
      </c>
      <c r="V20" s="14" t="str">
        <f t="shared" si="7"/>
        <v/>
      </c>
      <c r="W20" s="14">
        <f t="shared" si="2"/>
        <v>0</v>
      </c>
      <c r="X20" s="14" t="str">
        <f t="shared" si="8"/>
        <v/>
      </c>
      <c r="Y20" s="14">
        <f t="shared" si="3"/>
        <v>0</v>
      </c>
      <c r="Z20" s="14" t="str">
        <f t="shared" si="9"/>
        <v/>
      </c>
      <c r="AA20" s="14">
        <f t="shared" si="4"/>
        <v>0</v>
      </c>
      <c r="AB20" s="14" t="str">
        <f t="shared" si="10"/>
        <v/>
      </c>
      <c r="AC20" s="14" t="b">
        <f>OR(S19&gt;=30,S18&gt;=45,S17&gt;=60,S16&gt;=240,S15&gt;=240,S14&gt;=240,S13&gt;=240,S12&gt;=240,S11&gt;=240,S10&gt;=240,S9&gt;=240,S8&gt;=240,S7&gt;=240,S6&gt;=240,S5&gt;=240,S4&gt;=480)</f>
        <v>0</v>
      </c>
      <c r="AD20" s="14" t="b">
        <f>OR(U19&gt;=30,U18&gt;=45,U17&gt;=60,U16&gt;=240,U15&gt;=240,U14&gt;=240,U13&gt;=240,U12&gt;=240,U11&gt;=240,U10&gt;=240,U9&gt;=240,U8&gt;=240,U7&gt;=240,U6&gt;=240,U5&gt;=240,U4&gt;=480)</f>
        <v>0</v>
      </c>
      <c r="AE20" s="14" t="b">
        <f>OR(W19&gt;=30,W18&gt;=45,W17&gt;=60,W16&gt;=240,W15&gt;=240,W14&gt;=240,W13&gt;=240,W12&gt;=240,W11&gt;=240,W10&gt;=240,W9&gt;=240,W8&gt;=240,W7&gt;=240,W6&gt;=240,W5&gt;=240,W4&gt;=480)</f>
        <v>0</v>
      </c>
      <c r="AF20" s="14" t="b">
        <f>OR(Y19&gt;=30,Y18&gt;=45,Y17&gt;=60,Y16&gt;=240,Y15&gt;=240,Y14&gt;=240,Y13&gt;=240,Y12&gt;=240,Y11&gt;=240,Y10&gt;=240,Y9&gt;=240,Y8&gt;=240,Y7&gt;=240,Y6&gt;=240,Y5&gt;=240,Y4&gt;=480)</f>
        <v>0</v>
      </c>
      <c r="AG20" s="14" t="b">
        <f>OR(AA19&gt;=30,AA18&gt;=45,AA17&gt;=60,AA16&gt;=240,AA15&gt;=240,AA14&gt;=240,AA13&gt;=240,AA12&gt;=240,AA11&gt;=240,AA10&gt;=240,AA9&gt;=240,AA8&gt;=240,AA7&gt;=240,AA6&gt;=240,AA5&gt;=240,AA4&gt;=480)</f>
        <v>0</v>
      </c>
      <c r="AH20" s="14" t="str">
        <f t="shared" si="5"/>
        <v/>
      </c>
      <c r="AI20" s="14" t="e">
        <f>IF(AK20,0,IF(#REF!="Yes",0,IF(N19="","",IF(N19="PTO / Closed Day",0,IF(OR(N19="Individual 53+",N19="Non-billable 60 min admin block"),60,IF(OR(LEFT(N19,5)="Group",N19="Individual 38-52"),45,30))))))</f>
        <v>#REF!</v>
      </c>
      <c r="AJ20" s="14" t="e">
        <f>IF(AK20,0,IF(OR(#REF!="Yes",N19="",LEFT(N19,3)="PTO"),0,IF(LEFT(N19,5)="Group",0.33*AH20,IF(N19="Individual 16-37",0.63,IF(N19="Individual 38-52",0.82,IF(N19="Individual 53+",1,IF(N19="Family 26+",0.75,IF(N19="Intake",1.15,0))))))))</f>
        <v>#REF!</v>
      </c>
      <c r="AK20" s="14" t="e">
        <f t="shared" si="11"/>
        <v>#REF!</v>
      </c>
      <c r="AL20" s="14"/>
      <c r="AM20" s="14"/>
      <c r="AU20" s="3" t="s">
        <v>149</v>
      </c>
    </row>
    <row r="21" spans="1:59" ht="20.100000000000001" customHeight="1" x14ac:dyDescent="0.25">
      <c r="A21" s="23" t="s">
        <v>112</v>
      </c>
      <c r="B21" s="9">
        <v>10</v>
      </c>
      <c r="C21" s="10">
        <v>20</v>
      </c>
      <c r="D21" s="14"/>
      <c r="E21" s="18">
        <v>0.47916666666666669</v>
      </c>
      <c r="F21" s="86"/>
      <c r="G21" s="86"/>
      <c r="H21" s="86"/>
      <c r="I21" s="86"/>
      <c r="J21" s="86"/>
      <c r="K21" s="86"/>
      <c r="L21" s="86"/>
      <c r="M21" s="86"/>
      <c r="N21" s="86"/>
      <c r="O21" s="87"/>
      <c r="P21" s="14"/>
      <c r="Q21" s="14"/>
      <c r="R21" s="14" t="str">
        <f t="shared" si="12"/>
        <v/>
      </c>
      <c r="S21" s="14">
        <f t="shared" si="0"/>
        <v>0</v>
      </c>
      <c r="T21" s="14" t="str">
        <f t="shared" si="6"/>
        <v/>
      </c>
      <c r="U21" s="14">
        <f t="shared" si="1"/>
        <v>0</v>
      </c>
      <c r="V21" s="14" t="str">
        <f t="shared" si="7"/>
        <v/>
      </c>
      <c r="W21" s="14">
        <f t="shared" si="2"/>
        <v>0</v>
      </c>
      <c r="X21" s="14" t="str">
        <f t="shared" si="8"/>
        <v/>
      </c>
      <c r="Y21" s="14">
        <f t="shared" si="3"/>
        <v>0</v>
      </c>
      <c r="Z21" s="14" t="str">
        <f t="shared" si="9"/>
        <v/>
      </c>
      <c r="AA21" s="14">
        <f t="shared" si="4"/>
        <v>0</v>
      </c>
      <c r="AB21" s="14" t="str">
        <f t="shared" si="10"/>
        <v/>
      </c>
      <c r="AC21" s="14" t="b">
        <f>OR(S20&gt;=30,S19&gt;=45,S18&gt;=60,S17&gt;=240,S16&gt;=240,S15&gt;=240,S14&gt;=240,S13&gt;=240,S12&gt;=240,S11&gt;=240,S10&gt;=240,S9&gt;=240,S8&gt;=240,S7&gt;=240,S6&gt;=240,S5&gt;=480,S4&gt;=480)</f>
        <v>0</v>
      </c>
      <c r="AD21" s="14" t="b">
        <f>OR(U20&gt;=30,U19&gt;=45,U18&gt;=60,U17&gt;=240,U16&gt;=240,U15&gt;=240,U14&gt;=240,U13&gt;=240,U12&gt;=240,U11&gt;=240,U10&gt;=240,U9&gt;=240,U8&gt;=240,U7&gt;=240,U6&gt;=240,U5&gt;=480,U4&gt;=480)</f>
        <v>0</v>
      </c>
      <c r="AE21" s="14" t="b">
        <f>OR(W20&gt;=30,W19&gt;=45,W18&gt;=60,W17&gt;=240,W16&gt;=240,W15&gt;=240,W14&gt;=240,W13&gt;=240,W12&gt;=240,W11&gt;=240,W10&gt;=240,W9&gt;=240,W8&gt;=240,W7&gt;=240,W6&gt;=240,W5&gt;=480,W4&gt;=480)</f>
        <v>0</v>
      </c>
      <c r="AF21" s="14" t="b">
        <f>OR(Y20&gt;=30,Y19&gt;=45,Y18&gt;=60,Y17&gt;=240,Y16&gt;=240,Y15&gt;=240,Y14&gt;=240,Y13&gt;=240,Y12&gt;=240,Y11&gt;=240,Y10&gt;=240,Y9&gt;=240,Y8&gt;=240,Y7&gt;=240,Y6&gt;=240,Y5&gt;=480,Y4&gt;=480)</f>
        <v>0</v>
      </c>
      <c r="AG21" s="14" t="b">
        <f>OR(AA20&gt;=30,AA19&gt;=45,AA18&gt;=60,AA17&gt;=240,AA16&gt;=240,AA15&gt;=240,AA14&gt;=240,AA13&gt;=240,AA12&gt;=240,AA11&gt;=240,AA10&gt;=240,AA9&gt;=240,AA8&gt;=240,AA7&gt;=240,AA6&gt;=240,AA5&gt;=480,AA4&gt;=480)</f>
        <v>0</v>
      </c>
      <c r="AH21" s="14" t="str">
        <f t="shared" si="5"/>
        <v/>
      </c>
      <c r="AI21" s="14" t="e">
        <f>IF(AK21,0,IF(#REF!="Yes",0,IF(N20="","",IF(N20="PTO / Closed Day",0,IF(OR(N20="Individual 53+",N20="Non-billable 60 min admin block"),60,IF(OR(LEFT(N20,5)="Group",N20="Individual 38-52"),45,30))))))</f>
        <v>#REF!</v>
      </c>
      <c r="AJ21" s="14" t="e">
        <f>IF(AK21,0,IF(OR(#REF!="Yes",N20="",LEFT(N20,3)="PTO"),0,IF(LEFT(N20,5)="Group",0.33*AH21,IF(N20="Individual 16-37",0.63,IF(N20="Individual 38-52",0.82,IF(N20="Individual 53+",1,IF(N20="Family 26+",0.75,IF(N20="Intake",1.15,0))))))))</f>
        <v>#REF!</v>
      </c>
      <c r="AK21" s="14" t="e">
        <f t="shared" si="11"/>
        <v>#REF!</v>
      </c>
      <c r="AL21" s="14"/>
      <c r="AM21" s="14"/>
      <c r="AU21" s="3" t="s">
        <v>150</v>
      </c>
    </row>
    <row r="22" spans="1:59" ht="20.100000000000001" customHeight="1" x14ac:dyDescent="0.25">
      <c r="A22" s="23" t="s">
        <v>113</v>
      </c>
      <c r="B22" s="9">
        <v>10</v>
      </c>
      <c r="C22" s="10">
        <v>20</v>
      </c>
      <c r="D22" s="14"/>
      <c r="E22" s="18">
        <v>0.48958333333333331</v>
      </c>
      <c r="F22" s="86"/>
      <c r="G22" s="86"/>
      <c r="H22" s="86"/>
      <c r="I22" s="86"/>
      <c r="J22" s="86"/>
      <c r="K22" s="86"/>
      <c r="L22" s="86"/>
      <c r="M22" s="86"/>
      <c r="N22" s="86"/>
      <c r="O22" s="87"/>
      <c r="P22" s="14"/>
      <c r="Q22" s="14"/>
      <c r="R22" s="14" t="str">
        <f t="shared" si="12"/>
        <v/>
      </c>
      <c r="S22" s="14">
        <f t="shared" ref="S22:S48" si="13">IFERROR(INDEX($P$2:$P$10,MATCH(F21,$Q$2:$Q$10,0)),0)</f>
        <v>0</v>
      </c>
      <c r="T22" s="14" t="str">
        <f t="shared" si="6"/>
        <v/>
      </c>
      <c r="U22" s="14">
        <f t="shared" si="1"/>
        <v>0</v>
      </c>
      <c r="V22" s="14" t="str">
        <f t="shared" si="7"/>
        <v/>
      </c>
      <c r="W22" s="14">
        <f t="shared" si="2"/>
        <v>0</v>
      </c>
      <c r="X22" s="14" t="str">
        <f t="shared" si="8"/>
        <v/>
      </c>
      <c r="Y22" s="14">
        <f t="shared" si="3"/>
        <v>0</v>
      </c>
      <c r="Z22" s="14" t="str">
        <f t="shared" si="9"/>
        <v/>
      </c>
      <c r="AA22" s="14">
        <f t="shared" si="4"/>
        <v>0</v>
      </c>
      <c r="AB22" s="14" t="str">
        <f t="shared" si="10"/>
        <v/>
      </c>
      <c r="AC22" s="14" t="b">
        <f>OR(S21&gt;=30,S20&gt;=45,S19&gt;=60,S18&gt;=240,S17&gt;=240,S16&gt;=240,S15&gt;=240,S14&gt;=240,S13&gt;=240,S12&gt;=240,S11&gt;=240,S10&gt;=240,S9&gt;=240,S8&gt;=240,S7&gt;=240,S6&gt;=480,S5&gt;=480,S4&gt;=480)</f>
        <v>0</v>
      </c>
      <c r="AD22" s="14" t="b">
        <f>OR(U21&gt;=30,U20&gt;=45,U19&gt;=60,U18&gt;=240,U17&gt;=240,U16&gt;=240,U15&gt;=240,U14&gt;=240,U13&gt;=240,U12&gt;=240,U11&gt;=240,U10&gt;=240,U9&gt;=240,U8&gt;=240,U7&gt;=240,U6&gt;=480,U5&gt;=480,U4&gt;=480)</f>
        <v>0</v>
      </c>
      <c r="AE22" s="14" t="b">
        <f>OR(W21&gt;=30,W20&gt;=45,W19&gt;=60,W18&gt;=240,W17&gt;=240,W16&gt;=240,W15&gt;=240,W14&gt;=240,W13&gt;=240,W12&gt;=240,W11&gt;=240,W10&gt;=240,W9&gt;=240,W8&gt;=240,W7&gt;=240,W6&gt;=480,W5&gt;=480,W4&gt;=480)</f>
        <v>0</v>
      </c>
      <c r="AF22" s="14" t="b">
        <f>OR(Y21&gt;=30,Y20&gt;=45,Y19&gt;=60,Y18&gt;=240,Y17&gt;=240,Y16&gt;=240,Y15&gt;=240,Y14&gt;=240,Y13&gt;=240,Y12&gt;=240,Y11&gt;=240,Y10&gt;=240,Y9&gt;=240,Y8&gt;=240,Y7&gt;=240,Y6&gt;=480,Y5&gt;=480,Y4&gt;=480)</f>
        <v>0</v>
      </c>
      <c r="AG22" s="14" t="b">
        <f>OR(AA21&gt;=30,AA20&gt;=45,AA19&gt;=60,AA18&gt;=240,AA17&gt;=240,AA16&gt;=240,AA15&gt;=240,AA14&gt;=240,AA13&gt;=240,AA12&gt;=240,AA11&gt;=240,AA10&gt;=240,AA9&gt;=240,AA8&gt;=240,AA7&gt;=240,AA6&gt;=480,AA5&gt;=480,AA4&gt;=480)</f>
        <v>0</v>
      </c>
      <c r="AH22" s="14" t="str">
        <f t="shared" si="5"/>
        <v/>
      </c>
      <c r="AI22" s="14" t="e">
        <f>IF(AK22,0,IF(#REF!="Yes",0,IF(N21="","",IF(N21="PTO / Closed Day",0,IF(OR(N21="Individual 53+",N21="Non-billable 60 min admin block"),60,IF(OR(LEFT(N21,5)="Group",N21="Individual 38-52"),45,30))))))</f>
        <v>#REF!</v>
      </c>
      <c r="AJ22" s="14" t="e">
        <f>IF(AK22,0,IF(OR(#REF!="Yes",N21="",LEFT(N21,3)="PTO"),0,IF(LEFT(N21,5)="Group",0.33*AH22,IF(N21="Individual 16-37",0.63,IF(N21="Individual 38-52",0.82,IF(N21="Individual 53+",1,IF(N21="Family 26+",0.75,IF(N21="Intake",1.15,0))))))))</f>
        <v>#REF!</v>
      </c>
      <c r="AK22" s="14" t="e">
        <f t="shared" si="11"/>
        <v>#REF!</v>
      </c>
      <c r="AL22" s="14"/>
      <c r="AM22" s="14"/>
      <c r="AU22" s="3" t="s">
        <v>151</v>
      </c>
    </row>
    <row r="23" spans="1:59" ht="20.100000000000001" customHeight="1" x14ac:dyDescent="0.25">
      <c r="A23" s="23" t="s">
        <v>114</v>
      </c>
      <c r="B23" s="9">
        <v>10</v>
      </c>
      <c r="C23" s="10">
        <v>20</v>
      </c>
      <c r="D23" s="14"/>
      <c r="E23" s="18">
        <v>0.5</v>
      </c>
      <c r="F23" s="86"/>
      <c r="G23" s="86"/>
      <c r="H23" s="86"/>
      <c r="I23" s="86"/>
      <c r="J23" s="86"/>
      <c r="K23" s="86"/>
      <c r="L23" s="86"/>
      <c r="M23" s="86"/>
      <c r="N23" s="86"/>
      <c r="O23" s="87"/>
      <c r="P23" s="14"/>
      <c r="Q23" s="14"/>
      <c r="R23" s="14" t="str">
        <f t="shared" si="12"/>
        <v/>
      </c>
      <c r="S23" s="14">
        <f t="shared" si="13"/>
        <v>0</v>
      </c>
      <c r="T23" s="14" t="str">
        <f t="shared" si="6"/>
        <v/>
      </c>
      <c r="U23" s="14">
        <f t="shared" si="1"/>
        <v>0</v>
      </c>
      <c r="V23" s="14" t="str">
        <f t="shared" si="7"/>
        <v/>
      </c>
      <c r="W23" s="14">
        <f t="shared" si="2"/>
        <v>0</v>
      </c>
      <c r="X23" s="14" t="str">
        <f t="shared" si="8"/>
        <v/>
      </c>
      <c r="Y23" s="14">
        <f t="shared" si="3"/>
        <v>0</v>
      </c>
      <c r="Z23" s="14" t="str">
        <f t="shared" si="9"/>
        <v/>
      </c>
      <c r="AA23" s="14">
        <f t="shared" si="4"/>
        <v>0</v>
      </c>
      <c r="AB23" s="14" t="str">
        <f t="shared" si="10"/>
        <v/>
      </c>
      <c r="AC23" s="14" t="b">
        <f>OR(S22&gt;=30,S21&gt;=45,S20&gt;=60,S19&gt;=240,S18&gt;=240,S17&gt;=240,S16&gt;=240,S15&gt;=240,S14&gt;=240,S13&gt;=240,S12&gt;=240,S11&gt;=240,S10&gt;=240,S9&gt;=240,S8&gt;=240,S7&gt;=480,S6&gt;=480,S5&gt;=480,S4&gt;=480)</f>
        <v>0</v>
      </c>
      <c r="AD23" s="14" t="b">
        <f>OR(U22&gt;=30,U21&gt;=45,U20&gt;=60,U19&gt;=240,U18&gt;=240,U17&gt;=240,U16&gt;=240,U15&gt;=240,U14&gt;=240,U13&gt;=240,U12&gt;=240,U11&gt;=240,U10&gt;=240,U9&gt;=240,U8&gt;=240,U7&gt;=480,U6&gt;=480,U5&gt;=480,U4&gt;=480)</f>
        <v>0</v>
      </c>
      <c r="AE23" s="14" t="b">
        <f>OR(W22&gt;=30,W21&gt;=45,W20&gt;=60,W19&gt;=240,W18&gt;=240,W17&gt;=240,W16&gt;=240,W15&gt;=240,W14&gt;=240,W13&gt;=240,W12&gt;=240,W11&gt;=240,W10&gt;=240,W9&gt;=240,W8&gt;=240,W7&gt;=480,W6&gt;=480,W5&gt;=480,W4&gt;=480)</f>
        <v>0</v>
      </c>
      <c r="AF23" s="14" t="b">
        <f>OR(Y22&gt;=30,Y21&gt;=45,Y20&gt;=60,Y19&gt;=240,Y18&gt;=240,Y17&gt;=240,Y16&gt;=240,Y15&gt;=240,Y14&gt;=240,Y13&gt;=240,Y12&gt;=240,Y11&gt;=240,Y10&gt;=240,Y9&gt;=240,Y8&gt;=240,Y7&gt;=480,Y6&gt;=480,Y5&gt;=480,Y4&gt;=480)</f>
        <v>0</v>
      </c>
      <c r="AG23" s="14" t="b">
        <f>OR(AA22&gt;=30,AA21&gt;=45,AA20&gt;=60,AA19&gt;=240,AA18&gt;=240,AA17&gt;=240,AA16&gt;=240,AA15&gt;=240,AA14&gt;=240,AA13&gt;=240,AA12&gt;=240,AA11&gt;=240,AA10&gt;=240,AA9&gt;=240,AA8&gt;=240,AA7&gt;=480,AA6&gt;=480,AA5&gt;=480,AA4&gt;=480)</f>
        <v>0</v>
      </c>
      <c r="AH23" s="14" t="str">
        <f t="shared" si="5"/>
        <v/>
      </c>
      <c r="AI23" s="14" t="e">
        <f>IF(AK23,0,IF(#REF!="Yes",0,IF(N22="","",IF(N22="PTO / Closed Day",0,IF(OR(N22="Individual 53+",N22="Non-billable 60 min admin block"),60,IF(OR(LEFT(N22,5)="Group",N22="Individual 38-52"),45,30))))))</f>
        <v>#REF!</v>
      </c>
      <c r="AJ23" s="14" t="e">
        <f>IF(AK23,0,IF(OR(#REF!="Yes",N22="",LEFT(N22,3)="PTO"),0,IF(LEFT(N22,5)="Group",0.33*AH23,IF(N22="Individual 16-37",0.63,IF(N22="Individual 38-52",0.82,IF(N22="Individual 53+",1,IF(N22="Family 26+",0.75,IF(N22="Intake",1.15,0))))))))</f>
        <v>#REF!</v>
      </c>
      <c r="AK23" s="14" t="e">
        <f t="shared" si="11"/>
        <v>#REF!</v>
      </c>
      <c r="AL23" s="14"/>
      <c r="AM23" s="14"/>
      <c r="AU23" s="3" t="s">
        <v>155</v>
      </c>
    </row>
    <row r="24" spans="1:59" ht="20.100000000000001" customHeight="1" x14ac:dyDescent="0.25">
      <c r="A24" s="23" t="s">
        <v>115</v>
      </c>
      <c r="B24" s="9">
        <v>10</v>
      </c>
      <c r="C24" s="10">
        <v>20</v>
      </c>
      <c r="D24" s="14"/>
      <c r="E24" s="18">
        <v>0.51041666666666663</v>
      </c>
      <c r="F24" s="86"/>
      <c r="G24" s="86"/>
      <c r="H24" s="86"/>
      <c r="I24" s="86"/>
      <c r="J24" s="86"/>
      <c r="K24" s="86"/>
      <c r="L24" s="86"/>
      <c r="M24" s="86"/>
      <c r="N24" s="86"/>
      <c r="O24" s="87"/>
      <c r="P24" s="14"/>
      <c r="Q24" s="14"/>
      <c r="R24" s="14" t="str">
        <f t="shared" si="12"/>
        <v/>
      </c>
      <c r="S24" s="14">
        <f t="shared" si="13"/>
        <v>0</v>
      </c>
      <c r="T24" s="14" t="str">
        <f t="shared" si="6"/>
        <v/>
      </c>
      <c r="U24" s="14">
        <f t="shared" si="1"/>
        <v>0</v>
      </c>
      <c r="V24" s="14" t="str">
        <f t="shared" si="7"/>
        <v/>
      </c>
      <c r="W24" s="14">
        <f t="shared" si="2"/>
        <v>0</v>
      </c>
      <c r="X24" s="14" t="str">
        <f t="shared" si="8"/>
        <v/>
      </c>
      <c r="Y24" s="14">
        <f t="shared" si="3"/>
        <v>0</v>
      </c>
      <c r="Z24" s="14" t="str">
        <f t="shared" si="9"/>
        <v/>
      </c>
      <c r="AA24" s="14">
        <f t="shared" si="4"/>
        <v>0</v>
      </c>
      <c r="AB24" s="14" t="str">
        <f t="shared" si="10"/>
        <v/>
      </c>
      <c r="AC24" s="14" t="b">
        <f>OR(S23&gt;=30,S22&gt;=45,S21&gt;=60,S20&gt;=240,S19&gt;=240,S18&gt;=240,S17&gt;=240,S16&gt;=240,S15&gt;=240,S14&gt;=240,S13&gt;=240,S12&gt;=240,S11&gt;=240,S10&gt;=240,S9&gt;=240,S8&gt;=480,S7&gt;=480,S6&gt;=480,S5&gt;=480,S4&gt;=480)</f>
        <v>0</v>
      </c>
      <c r="AD24" s="14" t="b">
        <f>OR(U23&gt;=30,U22&gt;=45,U21&gt;=60,U20&gt;=240,U19&gt;=240,U18&gt;=240,U17&gt;=240,U16&gt;=240,U15&gt;=240,U14&gt;=240,U13&gt;=240,U12&gt;=240,U11&gt;=240,U10&gt;=240,U9&gt;=240,U8&gt;=480,U7&gt;=480,U6&gt;=480,U5&gt;=480,U4&gt;=480)</f>
        <v>0</v>
      </c>
      <c r="AE24" s="14" t="b">
        <f>OR(W23&gt;=30,W22&gt;=45,W21&gt;=60,W20&gt;=240,W19&gt;=240,W18&gt;=240,W17&gt;=240,W16&gt;=240,W15&gt;=240,W14&gt;=240,W13&gt;=240,W12&gt;=240,W11&gt;=240,W10&gt;=240,W9&gt;=240,W8&gt;=480,W7&gt;=480,W6&gt;=480,W5&gt;=480,W4&gt;=480)</f>
        <v>0</v>
      </c>
      <c r="AF24" s="14" t="b">
        <f>OR(Y23&gt;=30,Y22&gt;=45,Y21&gt;=60,Y20&gt;=240,Y19&gt;=240,Y18&gt;=240,Y17&gt;=240,Y16&gt;=240,Y15&gt;=240,Y14&gt;=240,Y13&gt;=240,Y12&gt;=240,Y11&gt;=240,Y10&gt;=240,Y9&gt;=240,Y8&gt;=480,Y7&gt;=480,Y6&gt;=480,Y5&gt;=480,Y4&gt;=480)</f>
        <v>0</v>
      </c>
      <c r="AG24" s="14" t="b">
        <f>OR(AA23&gt;=30,AA22&gt;=45,AA21&gt;=60,AA20&gt;=240,AA19&gt;=240,AA18&gt;=240,AA17&gt;=240,AA16&gt;=240,AA15&gt;=240,AA14&gt;=240,AA13&gt;=240,AA12&gt;=240,AA11&gt;=240,AA10&gt;=240,AA9&gt;=240,AA8&gt;=480,AA7&gt;=480,AA6&gt;=480,AA5&gt;=480,AA4&gt;=480)</f>
        <v>0</v>
      </c>
      <c r="AH24" s="14" t="str">
        <f t="shared" si="5"/>
        <v/>
      </c>
      <c r="AI24" s="14" t="e">
        <f>IF(AK24,0,IF(#REF!="Yes",0,IF(N23="","",IF(N23="PTO / Closed Day",0,IF(OR(N23="Individual 53+",N23="Non-billable 60 min admin block"),60,IF(OR(LEFT(N23,5)="Group",N23="Individual 38-52"),45,30))))))</f>
        <v>#REF!</v>
      </c>
      <c r="AJ24" s="14" t="e">
        <f>IF(AK24,0,IF(OR(#REF!="Yes",N23="",LEFT(N23,3)="PTO"),0,IF(LEFT(N23,5)="Group",0.33*AH24,IF(N23="Individual 16-37",0.63,IF(N23="Individual 38-52",0.82,IF(N23="Individual 53+",1,IF(N23="Family 26+",0.75,IF(N23="Intake",1.15,0))))))))</f>
        <v>#REF!</v>
      </c>
      <c r="AK24" s="14" t="e">
        <f t="shared" si="11"/>
        <v>#REF!</v>
      </c>
      <c r="AL24" s="14"/>
      <c r="AM24" s="14"/>
      <c r="AU24" s="3" t="s">
        <v>152</v>
      </c>
    </row>
    <row r="25" spans="1:59" ht="20.100000000000001" customHeight="1" thickBot="1" x14ac:dyDescent="0.3">
      <c r="A25" s="23" t="s">
        <v>190</v>
      </c>
      <c r="B25" s="9">
        <v>10</v>
      </c>
      <c r="C25" s="10">
        <v>20</v>
      </c>
      <c r="D25" s="14"/>
      <c r="E25" s="18">
        <v>0.52083333333333337</v>
      </c>
      <c r="F25" s="86"/>
      <c r="G25" s="86"/>
      <c r="H25" s="86"/>
      <c r="I25" s="86"/>
      <c r="J25" s="86"/>
      <c r="K25" s="86"/>
      <c r="L25" s="86"/>
      <c r="M25" s="86"/>
      <c r="N25" s="86"/>
      <c r="O25" s="87"/>
      <c r="P25" s="14"/>
      <c r="Q25" s="14"/>
      <c r="R25" s="14" t="str">
        <f t="shared" si="12"/>
        <v/>
      </c>
      <c r="S25" s="14">
        <f t="shared" si="13"/>
        <v>0</v>
      </c>
      <c r="T25" s="14" t="str">
        <f t="shared" si="6"/>
        <v/>
      </c>
      <c r="U25" s="14">
        <f t="shared" si="1"/>
        <v>0</v>
      </c>
      <c r="V25" s="14" t="str">
        <f t="shared" si="7"/>
        <v/>
      </c>
      <c r="W25" s="14">
        <f t="shared" si="2"/>
        <v>0</v>
      </c>
      <c r="X25" s="14" t="str">
        <f t="shared" si="8"/>
        <v/>
      </c>
      <c r="Y25" s="14">
        <f t="shared" si="3"/>
        <v>0</v>
      </c>
      <c r="Z25" s="14" t="str">
        <f t="shared" si="9"/>
        <v/>
      </c>
      <c r="AA25" s="14">
        <f t="shared" si="4"/>
        <v>0</v>
      </c>
      <c r="AB25" s="14" t="str">
        <f t="shared" si="10"/>
        <v/>
      </c>
      <c r="AC25" s="14" t="b">
        <f>OR(S24&gt;=30,S23&gt;=45,S22&gt;=60,S21&gt;=240,S20&gt;=240,S19&gt;=240,S18&gt;=240,S17&gt;=240,S16&gt;=240,S15&gt;=240,S14&gt;=240,S13&gt;=240,S12&gt;=240,S11&gt;=240,S10&gt;=240,S9&gt;=480,S8&gt;=480,S7&gt;=480,S6&gt;=480,S5&gt;=480,S4&gt;=480)</f>
        <v>0</v>
      </c>
      <c r="AD25" s="14" t="b">
        <f>OR(U24&gt;=30,U23&gt;=45,U22&gt;=60,U21&gt;=240,U20&gt;=240,U19&gt;=240,U18&gt;=240,U17&gt;=240,U16&gt;=240,U15&gt;=240,U14&gt;=240,U13&gt;=240,U12&gt;=240,U11&gt;=240,U10&gt;=240,U9&gt;=480,U8&gt;=480,U7&gt;=480,U6&gt;=480,U5&gt;=480,U4&gt;=480)</f>
        <v>0</v>
      </c>
      <c r="AE25" s="14" t="b">
        <f>OR(W24&gt;=30,W23&gt;=45,W22&gt;=60,W21&gt;=240,W20&gt;=240,W19&gt;=240,W18&gt;=240,W17&gt;=240,W16&gt;=240,W15&gt;=240,W14&gt;=240,W13&gt;=240,W12&gt;=240,W11&gt;=240,W10&gt;=240,W9&gt;=480,W8&gt;=480,W7&gt;=480,W6&gt;=480,W5&gt;=480,W4&gt;=480)</f>
        <v>0</v>
      </c>
      <c r="AF25" s="14" t="b">
        <f>OR(Y24&gt;=30,Y23&gt;=45,Y22&gt;=60,Y21&gt;=240,Y20&gt;=240,Y19&gt;=240,Y18&gt;=240,Y17&gt;=240,Y16&gt;=240,Y15&gt;=240,Y14&gt;=240,Y13&gt;=240,Y12&gt;=240,Y11&gt;=240,Y10&gt;=240,Y9&gt;=480,Y8&gt;=480,Y7&gt;=480,Y6&gt;=480,Y5&gt;=480,Y4&gt;=480)</f>
        <v>0</v>
      </c>
      <c r="AG25" s="14" t="b">
        <f>OR(AA24&gt;=30,AA23&gt;=45,AA22&gt;=60,AA21&gt;=240,AA20&gt;=240,AA19&gt;=240,AA18&gt;=240,AA17&gt;=240,AA16&gt;=240,AA15&gt;=240,AA14&gt;=240,AA13&gt;=240,AA12&gt;=240,AA11&gt;=240,AA10&gt;=240,AA9&gt;=480,AA8&gt;=480,AA7&gt;=480,AA6&gt;=480,AA5&gt;=480,AA4&gt;=480)</f>
        <v>0</v>
      </c>
      <c r="AH25" s="14" t="str">
        <f t="shared" si="5"/>
        <v/>
      </c>
      <c r="AI25" s="14" t="e">
        <f>IF(AK25,0,IF(#REF!="Yes",0,IF(N24="","",IF(N24="PTO / Closed Day",0,IF(OR(N24="Individual 53+",N24="Non-billable 60 min admin block"),60,IF(OR(LEFT(N24,5)="Group",N24="Individual 38-52"),45,30))))))</f>
        <v>#REF!</v>
      </c>
      <c r="AJ25" s="14" t="e">
        <f>IF(AK25,0,IF(OR(#REF!="Yes",N24="",LEFT(N24,3)="PTO"),0,IF(LEFT(N24,5)="Group",0.33*AH25,IF(N24="Individual 16-37",0.63,IF(N24="Individual 38-52",0.82,IF(N24="Individual 53+",1,IF(N24="Family 26+",0.75,IF(N24="Intake",1.15,0))))))))</f>
        <v>#REF!</v>
      </c>
      <c r="AK25" s="14" t="e">
        <f t="shared" si="11"/>
        <v>#REF!</v>
      </c>
      <c r="AL25" s="14"/>
      <c r="AM25" s="14"/>
      <c r="AU25" s="3" t="s">
        <v>153</v>
      </c>
      <c r="AW25" t="s">
        <v>13</v>
      </c>
      <c r="AX25" t="s">
        <v>217</v>
      </c>
    </row>
    <row r="26" spans="1:59" ht="20.100000000000001" customHeight="1" thickBot="1" x14ac:dyDescent="0.3">
      <c r="A26" s="114" t="s">
        <v>119</v>
      </c>
      <c r="B26" s="115">
        <f>SUM(B21:B25)</f>
        <v>50</v>
      </c>
      <c r="C26" s="116">
        <f>SUM(C21:C25)</f>
        <v>100</v>
      </c>
      <c r="D26" s="14"/>
      <c r="E26" s="24">
        <v>0.53125</v>
      </c>
      <c r="F26" s="88"/>
      <c r="G26" s="88"/>
      <c r="H26" s="88"/>
      <c r="I26" s="88"/>
      <c r="J26" s="88"/>
      <c r="K26" s="88"/>
      <c r="L26" s="88"/>
      <c r="M26" s="88"/>
      <c r="N26" s="88"/>
      <c r="O26" s="89"/>
      <c r="P26" s="14"/>
      <c r="Q26" s="14"/>
      <c r="R26" s="14" t="str">
        <f t="shared" si="12"/>
        <v/>
      </c>
      <c r="S26" s="14">
        <f t="shared" si="13"/>
        <v>0</v>
      </c>
      <c r="T26" s="14" t="str">
        <f t="shared" si="6"/>
        <v/>
      </c>
      <c r="U26" s="14">
        <f t="shared" si="1"/>
        <v>0</v>
      </c>
      <c r="V26" s="14" t="str">
        <f t="shared" si="7"/>
        <v/>
      </c>
      <c r="W26" s="14">
        <f t="shared" si="2"/>
        <v>0</v>
      </c>
      <c r="X26" s="14" t="str">
        <f t="shared" si="8"/>
        <v/>
      </c>
      <c r="Y26" s="14">
        <f t="shared" si="3"/>
        <v>0</v>
      </c>
      <c r="Z26" s="14" t="str">
        <f t="shared" si="9"/>
        <v/>
      </c>
      <c r="AA26" s="14">
        <f t="shared" si="4"/>
        <v>0</v>
      </c>
      <c r="AB26" s="14" t="str">
        <f t="shared" si="10"/>
        <v/>
      </c>
      <c r="AC26" s="14" t="b">
        <f>OR(S25&gt;=30,S24&gt;=45,S23&gt;=60,S22&gt;=240,S21&gt;=240,S20&gt;=240,S19&gt;=240,S18&gt;=240,S17&gt;=240,S16&gt;=240,S15&gt;=240,S14&gt;=240,S13&gt;=240,S12&gt;=240,S11&gt;=240,S10&gt;=480,S9&gt;=480,S8&gt;=480,S7&gt;=480,S6&gt;=480,S5&gt;=480,S4&gt;=480)</f>
        <v>0</v>
      </c>
      <c r="AD26" s="14" t="b">
        <f>OR(U25&gt;=30,U24&gt;=45,U23&gt;=60,U22&gt;=240,U21&gt;=240,U20&gt;=240,U19&gt;=240,U18&gt;=240,U17&gt;=240,U16&gt;=240,U15&gt;=240,U14&gt;=240,U13&gt;=240,U12&gt;=240,U11&gt;=240,U10&gt;=480,U9&gt;=480,U8&gt;=480,U7&gt;=480,U6&gt;=480,U5&gt;=480,U4&gt;=480)</f>
        <v>0</v>
      </c>
      <c r="AE26" s="14" t="b">
        <f>OR(W25&gt;=30,W24&gt;=45,W23&gt;=60,W22&gt;=240,W21&gt;=240,W20&gt;=240,W19&gt;=240,W18&gt;=240,W17&gt;=240,W16&gt;=240,W15&gt;=240,W14&gt;=240,W13&gt;=240,W12&gt;=240,W11&gt;=240,W10&gt;=480,W9&gt;=480,W8&gt;=480,W7&gt;=480,W6&gt;=480,W5&gt;=480,W4&gt;=480)</f>
        <v>0</v>
      </c>
      <c r="AF26" s="14" t="b">
        <f>OR(Y25&gt;=30,Y24&gt;=45,Y23&gt;=60,Y22&gt;=240,Y21&gt;=240,Y20&gt;=240,Y19&gt;=240,Y18&gt;=240,Y17&gt;=240,Y16&gt;=240,Y15&gt;=240,Y14&gt;=240,Y13&gt;=240,Y12&gt;=240,Y11&gt;=240,Y10&gt;=480,Y9&gt;=480,Y8&gt;=480,Y7&gt;=480,Y6&gt;=480,Y5&gt;=480,Y4&gt;=480)</f>
        <v>0</v>
      </c>
      <c r="AG26" s="14" t="b">
        <f>OR(AA25&gt;=30,AA24&gt;=45,AA23&gt;=60,AA22&gt;=240,AA21&gt;=240,AA20&gt;=240,AA19&gt;=240,AA18&gt;=240,AA17&gt;=240,AA16&gt;=240,AA15&gt;=240,AA14&gt;=240,AA13&gt;=240,AA12&gt;=240,AA11&gt;=240,AA10&gt;=480,AA9&gt;=480,AA8&gt;=480,AA7&gt;=480,AA6&gt;=480,AA5&gt;=480,AA4&gt;=480)</f>
        <v>0</v>
      </c>
      <c r="AH26" s="14" t="str">
        <f t="shared" si="5"/>
        <v/>
      </c>
      <c r="AI26" s="14" t="e">
        <f>IF(AK26,0,IF(#REF!="Yes",0,IF(N25="","",IF(N25="PTO / Closed Day",0,IF(OR(N25="Individual 53+",N25="Non-billable 60 min admin block"),60,IF(OR(LEFT(N25,5)="Group",N25="Individual 38-52"),45,30))))))</f>
        <v>#REF!</v>
      </c>
      <c r="AJ26" s="14" t="e">
        <f>IF(AK26,0,IF(OR(#REF!="Yes",N25="",LEFT(N25,3)="PTO"),0,IF(LEFT(N25,5)="Group",0.33*AH26,IF(N25="Individual 16-37",0.63,IF(N25="Individual 38-52",0.82,IF(N25="Individual 53+",1,IF(N25="Family 26+",0.75,IF(N25="Intake",1.15,0))))))))</f>
        <v>#REF!</v>
      </c>
      <c r="AK26" s="14" t="e">
        <f t="shared" si="11"/>
        <v>#REF!</v>
      </c>
      <c r="AL26" s="14"/>
      <c r="AM26" s="14"/>
      <c r="AU26" s="3" t="s">
        <v>154</v>
      </c>
      <c r="AW26" t="s">
        <v>92</v>
      </c>
      <c r="AX26">
        <v>0.63</v>
      </c>
    </row>
    <row r="27" spans="1:59" ht="20.100000000000001" customHeight="1" x14ac:dyDescent="0.25">
      <c r="A27" s="45"/>
      <c r="B27" s="45"/>
      <c r="C27" s="45"/>
      <c r="D27" s="14"/>
      <c r="E27" s="24">
        <v>0.54166666666666663</v>
      </c>
      <c r="F27" s="88"/>
      <c r="G27" s="88"/>
      <c r="H27" s="88"/>
      <c r="I27" s="88"/>
      <c r="J27" s="88"/>
      <c r="K27" s="88"/>
      <c r="L27" s="88"/>
      <c r="M27" s="88"/>
      <c r="N27" s="88"/>
      <c r="O27" s="89"/>
      <c r="P27" s="14"/>
      <c r="Q27" s="14"/>
      <c r="R27" s="14"/>
      <c r="S27" s="14">
        <f t="shared" si="13"/>
        <v>0</v>
      </c>
      <c r="T27" s="14" t="str">
        <f t="shared" si="6"/>
        <v/>
      </c>
      <c r="U27" s="14">
        <f t="shared" si="1"/>
        <v>0</v>
      </c>
      <c r="V27" s="14" t="str">
        <f t="shared" si="7"/>
        <v/>
      </c>
      <c r="W27" s="14">
        <f t="shared" si="2"/>
        <v>0</v>
      </c>
      <c r="X27" s="14" t="str">
        <f t="shared" si="8"/>
        <v/>
      </c>
      <c r="Y27" s="14">
        <f t="shared" si="3"/>
        <v>0</v>
      </c>
      <c r="Z27" s="14" t="str">
        <f t="shared" si="9"/>
        <v/>
      </c>
      <c r="AA27" s="14">
        <f t="shared" si="4"/>
        <v>0</v>
      </c>
      <c r="AB27" s="14" t="str">
        <f t="shared" si="10"/>
        <v/>
      </c>
      <c r="AC27" s="14" t="b">
        <f>OR(S26&gt;=30,S25&gt;=45,S24&gt;=60,S23&gt;=240,S22&gt;=240,S21&gt;=240,S20&gt;=240,S19&gt;=240,S18&gt;=240,S17&gt;=240,S16&gt;=240,S15&gt;=240,S14&gt;=240,S13&gt;=240,S12&gt;=240,S11&gt;=480,S10&gt;=480,S9&gt;=480,S8&gt;=480,S7&gt;=480,S6&gt;=480,S5&gt;=480,S4&gt;=480)</f>
        <v>0</v>
      </c>
      <c r="AD27" s="14" t="b">
        <f>OR(U26&gt;=30,U25&gt;=45,U24&gt;=60,U23&gt;=240,U22&gt;=240,U21&gt;=240,U20&gt;=240,U19&gt;=240,U18&gt;=240,U17&gt;=240,U16&gt;=240,U15&gt;=240,U14&gt;=240,U13&gt;=240,U12&gt;=240,U11&gt;=480,U10&gt;=480,U9&gt;=480,U8&gt;=480,U7&gt;=480,U6&gt;=480,U5&gt;=480,U4&gt;=480)</f>
        <v>0</v>
      </c>
      <c r="AE27" s="14" t="b">
        <f>OR(W26&gt;=30,W25&gt;=45,W24&gt;=60,W23&gt;=240,W22&gt;=240,W21&gt;=240,W20&gt;=240,W19&gt;=240,W18&gt;=240,W17&gt;=240,W16&gt;=240,W15&gt;=240,W14&gt;=240,W13&gt;=240,W12&gt;=240,W11&gt;=480,W10&gt;=480,W9&gt;=480,W8&gt;=480,W7&gt;=480,W6&gt;=480,W5&gt;=480,W4&gt;=480)</f>
        <v>0</v>
      </c>
      <c r="AF27" s="14" t="b">
        <f>OR(Y26&gt;=30,Y25&gt;=45,Y24&gt;=60,Y23&gt;=240,Y22&gt;=240,Y21&gt;=240,Y20&gt;=240,Y19&gt;=240,Y18&gt;=240,Y17&gt;=240,Y16&gt;=240,Y15&gt;=240,Y14&gt;=240,Y13&gt;=240,Y12&gt;=240,Y11&gt;=480,Y10&gt;=480,Y9&gt;=480,Y8&gt;=480,Y7&gt;=480,Y6&gt;=480,Y5&gt;=480,Y4&gt;=480)</f>
        <v>0</v>
      </c>
      <c r="AG27" s="14" t="b">
        <f>OR(AA26&gt;=30,AA25&gt;=45,AA24&gt;=60,AA23&gt;=240,AA22&gt;=240,AA21&gt;=240,AA20&gt;=240,AA19&gt;=240,AA18&gt;=240,AA17&gt;=240,AA16&gt;=240,AA15&gt;=240,AA14&gt;=240,AA13&gt;=240,AA12&gt;=240,AA11&gt;=480,AA10&gt;=480,AA9&gt;=480,AA8&gt;=480,AA7&gt;=480,AA6&gt;=480,AA5&gt;=480,AA4&gt;=480)</f>
        <v>0</v>
      </c>
      <c r="AH27" s="14"/>
      <c r="AI27" s="14"/>
      <c r="AJ27" s="14"/>
      <c r="AK27" s="14"/>
      <c r="AL27" s="14"/>
      <c r="AM27" s="14"/>
      <c r="AU27" s="3" t="s">
        <v>134</v>
      </c>
      <c r="AW27" t="s">
        <v>93</v>
      </c>
      <c r="AX27">
        <v>0.82</v>
      </c>
    </row>
    <row r="28" spans="1:59" ht="20.100000000000001" customHeight="1" thickBot="1" x14ac:dyDescent="0.3">
      <c r="A28" s="14"/>
      <c r="B28" s="14"/>
      <c r="C28" s="14"/>
      <c r="D28" s="14"/>
      <c r="E28" s="24">
        <v>0.55208333333333337</v>
      </c>
      <c r="F28" s="88"/>
      <c r="G28" s="88"/>
      <c r="H28" s="88"/>
      <c r="I28" s="88"/>
      <c r="J28" s="88"/>
      <c r="K28" s="88"/>
      <c r="L28" s="88"/>
      <c r="M28" s="88"/>
      <c r="N28" s="88"/>
      <c r="O28" s="89"/>
      <c r="P28" s="14"/>
      <c r="Q28" s="14"/>
      <c r="R28" s="14"/>
      <c r="S28" s="14">
        <f t="shared" si="13"/>
        <v>0</v>
      </c>
      <c r="T28" s="14" t="str">
        <f t="shared" si="6"/>
        <v/>
      </c>
      <c r="U28" s="14">
        <f t="shared" si="1"/>
        <v>0</v>
      </c>
      <c r="V28" s="14" t="str">
        <f t="shared" si="7"/>
        <v/>
      </c>
      <c r="W28" s="14">
        <f t="shared" si="2"/>
        <v>0</v>
      </c>
      <c r="X28" s="14" t="str">
        <f t="shared" si="8"/>
        <v/>
      </c>
      <c r="Y28" s="14">
        <f t="shared" si="3"/>
        <v>0</v>
      </c>
      <c r="Z28" s="14" t="str">
        <f t="shared" si="9"/>
        <v/>
      </c>
      <c r="AA28" s="14">
        <f t="shared" si="4"/>
        <v>0</v>
      </c>
      <c r="AB28" s="14" t="str">
        <f t="shared" si="10"/>
        <v/>
      </c>
      <c r="AC28" s="14" t="b">
        <f>OR(S27&gt;=30,S26&gt;=45,S25&gt;=60,S24&gt;=240,S23&gt;=240,S22&gt;=240,S21&gt;=240,S20&gt;=240,S19&gt;=240,S18&gt;=240,S17&gt;=240,S16&gt;=240,S15&gt;=240,S14&gt;=240,S13&gt;=240,S12&gt;=480,S11&gt;=480,S10&gt;=480,S9&gt;=480,S8&gt;=480,S7&gt;=480,S6&gt;=480,S5&gt;=480,S4&gt;=480)</f>
        <v>0</v>
      </c>
      <c r="AD28" s="14" t="b">
        <f>OR(U27&gt;=30,U26&gt;=45,U25&gt;=60,U24&gt;=240,U23&gt;=240,U22&gt;=240,U21&gt;=240,U20&gt;=240,U19&gt;=240,U18&gt;=240,U17&gt;=240,U16&gt;=240,U15&gt;=240,U14&gt;=240,U13&gt;=240,U12&gt;=480,U11&gt;=480,U10&gt;=480,U9&gt;=480,U8&gt;=480,U7&gt;=480,U6&gt;=480,U5&gt;=480,U4&gt;=480)</f>
        <v>0</v>
      </c>
      <c r="AE28" s="14" t="b">
        <f>OR(W27&gt;=30,W26&gt;=45,W25&gt;=60,W24&gt;=240,W23&gt;=240,W22&gt;=240,W21&gt;=240,W20&gt;=240,W19&gt;=240,W18&gt;=240,W17&gt;=240,W16&gt;=240,W15&gt;=240,W14&gt;=240,W13&gt;=240,W12&gt;=480,W11&gt;=480,W10&gt;=480,W9&gt;=480,W8&gt;=480,W7&gt;=480,W6&gt;=480,W5&gt;=480,W4&gt;=480)</f>
        <v>0</v>
      </c>
      <c r="AF28" s="14" t="b">
        <f>OR(Y27&gt;=30,Y26&gt;=45,Y25&gt;=60,Y24&gt;=240,Y23&gt;=240,Y22&gt;=240,Y21&gt;=240,Y20&gt;=240,Y19&gt;=240,Y18&gt;=240,Y17&gt;=240,Y16&gt;=240,Y15&gt;=240,Y14&gt;=240,Y13&gt;=240,Y12&gt;=480,Y11&gt;=480,Y10&gt;=480,Y9&gt;=480,Y8&gt;=480,Y7&gt;=480,Y6&gt;=480,Y5&gt;=480,Y4&gt;=480)</f>
        <v>0</v>
      </c>
      <c r="AG28" s="14" t="b">
        <f>OR(AA27&gt;=30,AA26&gt;=45,AA25&gt;=60,AA24&gt;=240,AA23&gt;=240,AA22&gt;=240,AA21&gt;=240,AA20&gt;=240,AA19&gt;=240,AA18&gt;=240,AA17&gt;=240,AA16&gt;=240,AA15&gt;=240,AA14&gt;=240,AA13&gt;=240,AA12&gt;=480,AA11&gt;=480,AA10&gt;=480,AA9&gt;=480,AA8&gt;=480,AA7&gt;=480,AA6&gt;=480,AA5&gt;=480,AA4&gt;=480)</f>
        <v>0</v>
      </c>
      <c r="AH28" s="14"/>
      <c r="AI28" s="14"/>
      <c r="AJ28" s="14"/>
      <c r="AK28" s="14"/>
      <c r="AL28" s="14"/>
      <c r="AM28" s="14"/>
      <c r="AU28" s="3" t="s">
        <v>135</v>
      </c>
      <c r="AW28" t="s">
        <v>94</v>
      </c>
      <c r="AX28">
        <v>1</v>
      </c>
    </row>
    <row r="29" spans="1:59" ht="20.100000000000001" customHeight="1" thickTop="1" x14ac:dyDescent="0.25">
      <c r="A29" s="126" t="s">
        <v>120</v>
      </c>
      <c r="B29" s="127"/>
      <c r="C29" s="128"/>
      <c r="D29" s="14"/>
      <c r="E29" s="24">
        <v>0.5625</v>
      </c>
      <c r="F29" s="88"/>
      <c r="G29" s="88"/>
      <c r="H29" s="88"/>
      <c r="I29" s="88"/>
      <c r="J29" s="88"/>
      <c r="K29" s="88"/>
      <c r="L29" s="88"/>
      <c r="M29" s="88"/>
      <c r="N29" s="88"/>
      <c r="O29" s="89"/>
      <c r="P29" s="14"/>
      <c r="Q29" s="14"/>
      <c r="R29" s="14"/>
      <c r="S29" s="14">
        <f t="shared" si="13"/>
        <v>0</v>
      </c>
      <c r="T29" s="14" t="str">
        <f t="shared" si="6"/>
        <v/>
      </c>
      <c r="U29" s="14">
        <f t="shared" si="1"/>
        <v>0</v>
      </c>
      <c r="V29" s="14" t="str">
        <f t="shared" si="7"/>
        <v/>
      </c>
      <c r="W29" s="14">
        <f t="shared" si="2"/>
        <v>0</v>
      </c>
      <c r="X29" s="14" t="str">
        <f t="shared" si="8"/>
        <v/>
      </c>
      <c r="Y29" s="14">
        <f t="shared" si="3"/>
        <v>0</v>
      </c>
      <c r="Z29" s="14" t="str">
        <f t="shared" si="9"/>
        <v/>
      </c>
      <c r="AA29" s="14">
        <f t="shared" si="4"/>
        <v>0</v>
      </c>
      <c r="AB29" s="14" t="str">
        <f t="shared" si="10"/>
        <v/>
      </c>
      <c r="AC29" s="14" t="b">
        <f>OR(S28&gt;=30,S27&gt;=45,S26&gt;=60,S25&gt;=240,S24&gt;=240,S23&gt;=240,S22&gt;=240,S21&gt;=240,S20&gt;=240,S19&gt;=240,S18&gt;=240,S17&gt;=240,S16&gt;=240,S15&gt;=240,S14&gt;=240,S13&gt;=480,S12&gt;=480,S11&gt;=480,S10&gt;=480,S9&gt;=480,S8&gt;=480,S7&gt;=480,S6&gt;=480,S5&gt;=480,S4&gt;=480)</f>
        <v>0</v>
      </c>
      <c r="AD29" s="14" t="b">
        <f>OR(U28&gt;=30,U27&gt;=45,U26&gt;=60,U25&gt;=240,U24&gt;=240,U23&gt;=240,U22&gt;=240,U21&gt;=240,U20&gt;=240,U19&gt;=240,U18&gt;=240,U17&gt;=240,U16&gt;=240,U15&gt;=240,U14&gt;=240,U13&gt;=480,U12&gt;=480,U11&gt;=480,U10&gt;=480,U9&gt;=480,U8&gt;=480,U7&gt;=480,U6&gt;=480,U5&gt;=480,U4&gt;=480)</f>
        <v>0</v>
      </c>
      <c r="AE29" s="14" t="b">
        <f>OR(W28&gt;=30,W27&gt;=45,W26&gt;=60,W25&gt;=240,W24&gt;=240,W23&gt;=240,W22&gt;=240,W21&gt;=240,W20&gt;=240,W19&gt;=240,W18&gt;=240,W17&gt;=240,W16&gt;=240,W15&gt;=240,W14&gt;=240,W13&gt;=480,W12&gt;=480,W11&gt;=480,W10&gt;=480,W9&gt;=480,W8&gt;=480,W7&gt;=480,W6&gt;=480,W5&gt;=480,W4&gt;=480)</f>
        <v>0</v>
      </c>
      <c r="AF29" s="14" t="b">
        <f>OR(Y28&gt;=30,Y27&gt;=45,Y26&gt;=60,Y25&gt;=240,Y24&gt;=240,Y23&gt;=240,Y22&gt;=240,Y21&gt;=240,Y20&gt;=240,Y19&gt;=240,Y18&gt;=240,Y17&gt;=240,Y16&gt;=240,Y15&gt;=240,Y14&gt;=240,Y13&gt;=480,Y12&gt;=480,Y11&gt;=480,Y10&gt;=480,Y9&gt;=480,Y8&gt;=480,Y7&gt;=480,Y6&gt;=480,Y5&gt;=480,Y4&gt;=480)</f>
        <v>0</v>
      </c>
      <c r="AG29" s="14" t="b">
        <f>OR(AA28&gt;=30,AA27&gt;=45,AA26&gt;=60,AA25&gt;=240,AA24&gt;=240,AA23&gt;=240,AA22&gt;=240,AA21&gt;=240,AA20&gt;=240,AA19&gt;=240,AA18&gt;=240,AA17&gt;=240,AA16&gt;=240,AA15&gt;=240,AA14&gt;=240,AA13&gt;=480,AA12&gt;=480,AA11&gt;=480,AA10&gt;=480,AA9&gt;=480,AA8&gt;=480,AA7&gt;=480,AA6&gt;=480,AA5&gt;=480,AA4&gt;=480)</f>
        <v>0</v>
      </c>
      <c r="AH29" s="14"/>
      <c r="AI29" s="14"/>
      <c r="AJ29" s="14"/>
      <c r="AK29" s="14"/>
      <c r="AL29" s="14"/>
      <c r="AM29" s="14"/>
      <c r="AU29" s="3" t="s">
        <v>136</v>
      </c>
      <c r="AW29" t="s">
        <v>95</v>
      </c>
      <c r="AX29">
        <v>0.75</v>
      </c>
    </row>
    <row r="30" spans="1:59" ht="20.100000000000001" customHeight="1" x14ac:dyDescent="0.25">
      <c r="A30" s="25" t="s">
        <v>121</v>
      </c>
      <c r="B30" s="26"/>
      <c r="C30" s="27">
        <f>+C26/B26</f>
        <v>2</v>
      </c>
      <c r="D30" s="14"/>
      <c r="E30" s="24">
        <v>0.57291666666666663</v>
      </c>
      <c r="F30" s="88"/>
      <c r="G30" s="88"/>
      <c r="H30" s="88"/>
      <c r="I30" s="88"/>
      <c r="J30" s="88"/>
      <c r="K30" s="88"/>
      <c r="L30" s="88"/>
      <c r="M30" s="88"/>
      <c r="N30" s="88"/>
      <c r="O30" s="89"/>
      <c r="P30" s="14"/>
      <c r="Q30" s="14"/>
      <c r="R30" s="14"/>
      <c r="S30" s="14">
        <f t="shared" si="13"/>
        <v>0</v>
      </c>
      <c r="T30" s="14" t="str">
        <f t="shared" si="6"/>
        <v/>
      </c>
      <c r="U30" s="14">
        <f t="shared" si="1"/>
        <v>0</v>
      </c>
      <c r="V30" s="14" t="str">
        <f t="shared" si="7"/>
        <v/>
      </c>
      <c r="W30" s="14">
        <f t="shared" si="2"/>
        <v>0</v>
      </c>
      <c r="X30" s="14" t="str">
        <f t="shared" si="8"/>
        <v/>
      </c>
      <c r="Y30" s="14">
        <f t="shared" si="3"/>
        <v>0</v>
      </c>
      <c r="Z30" s="14" t="str">
        <f t="shared" si="9"/>
        <v/>
      </c>
      <c r="AA30" s="14">
        <f t="shared" si="4"/>
        <v>0</v>
      </c>
      <c r="AB30" s="14" t="str">
        <f t="shared" si="10"/>
        <v/>
      </c>
      <c r="AC30" s="14" t="b">
        <f>OR(S29&gt;=30,S28&gt;=45,S27&gt;=60,S26&gt;=240,S25&gt;=240,S24&gt;=240,S23&gt;=240,S22&gt;=240,S21&gt;=240,S20&gt;=240,S19&gt;=240,S18&gt;=240,S17&gt;=240,S16&gt;=240,S15&gt;=240,S14&gt;=480,S13&gt;=480,S12&gt;=480,S11&gt;=480,S10&gt;=480,S9&gt;=480,S8&gt;=480,S7&gt;=480,S6&gt;=480,S5&gt;=480,S4&gt;=480)</f>
        <v>0</v>
      </c>
      <c r="AD30" s="14" t="b">
        <f>OR(U29&gt;=30,U28&gt;=45,U27&gt;=60,U26&gt;=240,U25&gt;=240,U24&gt;=240,U23&gt;=240,U22&gt;=240,U21&gt;=240,U20&gt;=240,U19&gt;=240,U18&gt;=240,U17&gt;=240,U16&gt;=240,U15&gt;=240,U14&gt;=480,U13&gt;=480,U12&gt;=480,U11&gt;=480,U10&gt;=480,U9&gt;=480,U8&gt;=480,U7&gt;=480,U6&gt;=480,U5&gt;=480,U4&gt;=480)</f>
        <v>0</v>
      </c>
      <c r="AE30" s="14" t="b">
        <f>OR(W29&gt;=30,W28&gt;=45,W27&gt;=60,W26&gt;=240,W25&gt;=240,W24&gt;=240,W23&gt;=240,W22&gt;=240,W21&gt;=240,W20&gt;=240,W19&gt;=240,W18&gt;=240,W17&gt;=240,W16&gt;=240,W15&gt;=240,W14&gt;=480,W13&gt;=480,W12&gt;=480,W11&gt;=480,W10&gt;=480,W9&gt;=480,W8&gt;=480,W7&gt;=480,W6&gt;=480,W5&gt;=480,W4&gt;=480)</f>
        <v>0</v>
      </c>
      <c r="AF30" s="14" t="b">
        <f>OR(Y29&gt;=30,Y28&gt;=45,Y27&gt;=60,Y26&gt;=240,Y25&gt;=240,Y24&gt;=240,Y23&gt;=240,Y22&gt;=240,Y21&gt;=240,Y20&gt;=240,Y19&gt;=240,Y18&gt;=240,Y17&gt;=240,Y16&gt;=240,Y15&gt;=240,Y14&gt;=480,Y13&gt;=480,Y12&gt;=480,Y11&gt;=480,Y10&gt;=480,Y9&gt;=480,Y8&gt;=480,Y7&gt;=480,Y6&gt;=480,Y5&gt;=480,Y4&gt;=480)</f>
        <v>0</v>
      </c>
      <c r="AG30" s="14" t="b">
        <f>OR(AA29&gt;=30,AA28&gt;=45,AA27&gt;=60,AA26&gt;=240,AA25&gt;=240,AA24&gt;=240,AA23&gt;=240,AA22&gt;=240,AA21&gt;=240,AA20&gt;=240,AA19&gt;=240,AA18&gt;=240,AA17&gt;=240,AA16&gt;=240,AA15&gt;=240,AA14&gt;=480,AA13&gt;=480,AA12&gt;=480,AA11&gt;=480,AA10&gt;=480,AA9&gt;=480,AA8&gt;=480,AA7&gt;=480,AA6&gt;=480,AA5&gt;=480,AA4&gt;=480)</f>
        <v>0</v>
      </c>
      <c r="AH30" s="14"/>
      <c r="AI30" s="14"/>
      <c r="AJ30" s="14"/>
      <c r="AK30" s="14"/>
      <c r="AL30" s="14"/>
      <c r="AM30" s="14"/>
      <c r="AU30" s="3" t="s">
        <v>137</v>
      </c>
      <c r="AW30" t="s">
        <v>8</v>
      </c>
      <c r="AX30">
        <v>1.1499999999999999</v>
      </c>
    </row>
    <row r="31" spans="1:59" ht="20.100000000000001" customHeight="1" thickBot="1" x14ac:dyDescent="0.3">
      <c r="A31" s="25" t="s">
        <v>122</v>
      </c>
      <c r="B31" s="26"/>
      <c r="C31" s="28">
        <f>IF(C30&lt;1,0,425+(INT(C30*100)-100)*42.5)</f>
        <v>4675</v>
      </c>
      <c r="D31" s="14"/>
      <c r="E31" s="24">
        <v>0.58333333333333337</v>
      </c>
      <c r="F31" s="88"/>
      <c r="G31" s="88"/>
      <c r="H31" s="88"/>
      <c r="I31" s="88"/>
      <c r="J31" s="88"/>
      <c r="K31" s="88"/>
      <c r="L31" s="88"/>
      <c r="M31" s="88"/>
      <c r="N31" s="88"/>
      <c r="O31" s="89"/>
      <c r="P31" s="14"/>
      <c r="Q31" s="14"/>
      <c r="R31" s="14"/>
      <c r="S31" s="14">
        <f t="shared" si="13"/>
        <v>0</v>
      </c>
      <c r="T31" s="14" t="str">
        <f t="shared" si="6"/>
        <v/>
      </c>
      <c r="U31" s="14">
        <f t="shared" si="1"/>
        <v>0</v>
      </c>
      <c r="V31" s="14" t="str">
        <f t="shared" si="7"/>
        <v/>
      </c>
      <c r="W31" s="14">
        <f t="shared" si="2"/>
        <v>0</v>
      </c>
      <c r="X31" s="14" t="str">
        <f t="shared" si="8"/>
        <v/>
      </c>
      <c r="Y31" s="14">
        <f t="shared" si="3"/>
        <v>0</v>
      </c>
      <c r="Z31" s="14" t="str">
        <f t="shared" si="9"/>
        <v/>
      </c>
      <c r="AA31" s="14">
        <f t="shared" si="4"/>
        <v>0</v>
      </c>
      <c r="AB31" s="14" t="str">
        <f t="shared" si="10"/>
        <v/>
      </c>
      <c r="AC31" s="14" t="b">
        <f>OR(S30&gt;=30,S29&gt;=45,S28&gt;=60,S27&gt;=240,S26&gt;=240,S25&gt;=240,S24&gt;=240,S23&gt;=240,S22&gt;=240,S21&gt;=240,S20&gt;=240,S19&gt;=240,S18&gt;=240,S17&gt;=240,S16&gt;=240,S15&gt;=480,S14&gt;=480,S13&gt;=480,S12&gt;=480,S11&gt;=480,S10&gt;=480,S9&gt;=480,S8&gt;=480,S7&gt;=480,S6&gt;=480,S5&gt;=480,S4&gt;=480)</f>
        <v>0</v>
      </c>
      <c r="AD31" s="14" t="b">
        <f>OR(U30&gt;=30,U29&gt;=45,U28&gt;=60,U27&gt;=240,U26&gt;=240,U25&gt;=240,U24&gt;=240,U23&gt;=240,U22&gt;=240,U21&gt;=240,U20&gt;=240,U19&gt;=240,U18&gt;=240,U17&gt;=240,U16&gt;=240,U15&gt;=480,U14&gt;=480,U13&gt;=480,U12&gt;=480,U11&gt;=480,U10&gt;=480,U9&gt;=480,U8&gt;=480,U7&gt;=480,U6&gt;=480,U5&gt;=480,U4&gt;=480)</f>
        <v>0</v>
      </c>
      <c r="AE31" s="14" t="b">
        <f>OR(W30&gt;=30,W29&gt;=45,W28&gt;=60,W27&gt;=240,W26&gt;=240,W25&gt;=240,W24&gt;=240,W23&gt;=240,W22&gt;=240,W21&gt;=240,W20&gt;=240,W19&gt;=240,W18&gt;=240,W17&gt;=240,W16&gt;=240,W15&gt;=480,W14&gt;=480,W13&gt;=480,W12&gt;=480,W11&gt;=480,W10&gt;=480,W9&gt;=480,W8&gt;=480,W7&gt;=480,W6&gt;=480,W5&gt;=480,W4&gt;=480)</f>
        <v>0</v>
      </c>
      <c r="AF31" s="14" t="b">
        <f>OR(Y30&gt;=30,Y29&gt;=45,Y28&gt;=60,Y27&gt;=240,Y26&gt;=240,Y25&gt;=240,Y24&gt;=240,Y23&gt;=240,Y22&gt;=240,Y21&gt;=240,Y20&gt;=240,Y19&gt;=240,Y18&gt;=240,Y17&gt;=240,Y16&gt;=240,Y15&gt;=480,Y14&gt;=480,Y13&gt;=480,Y12&gt;=480,Y11&gt;=480,Y10&gt;=480,Y9&gt;=480,Y8&gt;=480,Y7&gt;=480,Y6&gt;=480,Y5&gt;=480,Y4&gt;=480)</f>
        <v>0</v>
      </c>
      <c r="AG31" s="14" t="b">
        <f>OR(AA30&gt;=30,AA29&gt;=45,AA28&gt;=60,AA27&gt;=240,AA26&gt;=240,AA25&gt;=240,AA24&gt;=240,AA23&gt;=240,AA22&gt;=240,AA21&gt;=240,AA20&gt;=240,AA19&gt;=240,AA18&gt;=240,AA17&gt;=240,AA16&gt;=240,AA15&gt;=480,AA14&gt;=480,AA13&gt;=480,AA12&gt;=480,AA11&gt;=480,AA10&gt;=480,AA9&gt;=480,AA8&gt;=480,AA7&gt;=480,AA6&gt;=480,AA5&gt;=480,AA4&gt;=480)</f>
        <v>0</v>
      </c>
      <c r="AH31" s="14"/>
      <c r="AI31" s="14"/>
      <c r="AJ31" s="14"/>
      <c r="AK31" s="14"/>
      <c r="AL31" s="14"/>
      <c r="AM31" s="14"/>
      <c r="AU31" s="3" t="s">
        <v>138</v>
      </c>
      <c r="AW31" t="s">
        <v>96</v>
      </c>
      <c r="AX31">
        <v>0.33</v>
      </c>
    </row>
    <row r="32" spans="1:59" ht="20.100000000000001" customHeight="1" thickTop="1" thickBot="1" x14ac:dyDescent="0.3">
      <c r="A32" s="60" t="s">
        <v>123</v>
      </c>
      <c r="B32" s="61"/>
      <c r="C32" s="62" t="str">
        <f>IF(C30&gt;=1,"Goal Met! ✅",IF(C30&gt;=0.9,"Almost There! 💪","Below ⚠️"))</f>
        <v>Goal Met! ✅</v>
      </c>
      <c r="D32" s="14"/>
      <c r="E32" s="24">
        <v>0.59375</v>
      </c>
      <c r="F32" s="88"/>
      <c r="G32" s="88"/>
      <c r="H32" s="88"/>
      <c r="I32" s="88"/>
      <c r="J32" s="88"/>
      <c r="K32" s="88"/>
      <c r="L32" s="88"/>
      <c r="M32" s="88"/>
      <c r="N32" s="88"/>
      <c r="O32" s="89"/>
      <c r="P32" s="14"/>
      <c r="Q32" s="14"/>
      <c r="R32" s="14"/>
      <c r="S32" s="14">
        <f t="shared" si="13"/>
        <v>0</v>
      </c>
      <c r="T32" s="14" t="str">
        <f t="shared" si="6"/>
        <v/>
      </c>
      <c r="U32" s="14">
        <f t="shared" si="1"/>
        <v>0</v>
      </c>
      <c r="V32" s="14" t="str">
        <f t="shared" si="7"/>
        <v/>
      </c>
      <c r="W32" s="14">
        <f t="shared" si="2"/>
        <v>0</v>
      </c>
      <c r="X32" s="14" t="str">
        <f t="shared" si="8"/>
        <v/>
      </c>
      <c r="Y32" s="14">
        <f t="shared" si="3"/>
        <v>0</v>
      </c>
      <c r="Z32" s="14" t="str">
        <f t="shared" si="9"/>
        <v/>
      </c>
      <c r="AA32" s="14">
        <f t="shared" si="4"/>
        <v>0</v>
      </c>
      <c r="AB32" s="14" t="str">
        <f t="shared" si="10"/>
        <v/>
      </c>
      <c r="AC32" s="14" t="b">
        <f>OR(S31&gt;=30,S30&gt;=45,S29&gt;=60,S28&gt;=240,S27&gt;=240,S26&gt;=240,S25&gt;=240,S24&gt;=240,S23&gt;=240,S22&gt;=240,S21&gt;=240,S20&gt;=240,S19&gt;=240,S18&gt;=240,S17&gt;=240,S16&gt;=480,S15&gt;=480,S14&gt;=480,S13&gt;=480,S12&gt;=480,S11&gt;=480,S10&gt;=480,S9&gt;=480,S8&gt;=480,S7&gt;=480,S6&gt;=480,S5&gt;=480,S4&gt;=480)</f>
        <v>0</v>
      </c>
      <c r="AD32" s="14" t="b">
        <f>OR(U31&gt;=30,U30&gt;=45,U29&gt;=60,U28&gt;=240,U27&gt;=240,U26&gt;=240,U25&gt;=240,U24&gt;=240,U23&gt;=240,U22&gt;=240,U21&gt;=240,U20&gt;=240,U19&gt;=240,U18&gt;=240,U17&gt;=240,U16&gt;=480,U15&gt;=480,U14&gt;=480,U13&gt;=480,U12&gt;=480,U11&gt;=480,U10&gt;=480,U9&gt;=480,U8&gt;=480,U7&gt;=480,U6&gt;=480,U5&gt;=480,U4&gt;=480)</f>
        <v>0</v>
      </c>
      <c r="AE32" s="14" t="b">
        <f>OR(W31&gt;=30,W30&gt;=45,W29&gt;=60,W28&gt;=240,W27&gt;=240,W26&gt;=240,W25&gt;=240,W24&gt;=240,W23&gt;=240,W22&gt;=240,W21&gt;=240,W20&gt;=240,W19&gt;=240,W18&gt;=240,W17&gt;=240,W16&gt;=480,W15&gt;=480,W14&gt;=480,W13&gt;=480,W12&gt;=480,W11&gt;=480,W10&gt;=480,W9&gt;=480,W8&gt;=480,W7&gt;=480,W6&gt;=480,W5&gt;=480,W4&gt;=480)</f>
        <v>0</v>
      </c>
      <c r="AF32" s="14" t="b">
        <f>OR(Y31&gt;=30,Y30&gt;=45,Y29&gt;=60,Y28&gt;=240,Y27&gt;=240,Y26&gt;=240,Y25&gt;=240,Y24&gt;=240,Y23&gt;=240,Y22&gt;=240,Y21&gt;=240,Y20&gt;=240,Y19&gt;=240,Y18&gt;=240,Y17&gt;=240,Y16&gt;=480,Y15&gt;=480,Y14&gt;=480,Y13&gt;=480,Y12&gt;=480,Y11&gt;=480,Y10&gt;=480,Y9&gt;=480,Y8&gt;=480,Y7&gt;=480,Y6&gt;=480,Y5&gt;=480,Y4&gt;=480)</f>
        <v>0</v>
      </c>
      <c r="AG32" s="14" t="b">
        <f>OR(AA31&gt;=30,AA30&gt;=45,AA29&gt;=60,AA28&gt;=240,AA27&gt;=240,AA26&gt;=240,AA25&gt;=240,AA24&gt;=240,AA23&gt;=240,AA22&gt;=240,AA21&gt;=240,AA20&gt;=240,AA19&gt;=240,AA18&gt;=240,AA17&gt;=240,AA16&gt;=480,AA15&gt;=480,AA14&gt;=480,AA13&gt;=480,AA12&gt;=480,AA11&gt;=480,AA10&gt;=480,AA9&gt;=480,AA8&gt;=480,AA7&gt;=480,AA6&gt;=480,AA5&gt;=480,AA4&gt;=480)</f>
        <v>0</v>
      </c>
      <c r="AH32" s="14"/>
      <c r="AI32" s="14"/>
      <c r="AJ32" s="14"/>
      <c r="AK32" s="14"/>
      <c r="AL32" s="14"/>
      <c r="AM32" s="14"/>
      <c r="AW32" t="s">
        <v>156</v>
      </c>
      <c r="AX32">
        <v>0</v>
      </c>
    </row>
    <row r="33" spans="1:50" ht="20.100000000000001" customHeight="1" thickTop="1" x14ac:dyDescent="0.25">
      <c r="A33" s="45"/>
      <c r="B33" s="45"/>
      <c r="C33" s="45"/>
      <c r="D33" s="14"/>
      <c r="E33" s="24">
        <v>0.60416666666666663</v>
      </c>
      <c r="F33" s="88"/>
      <c r="G33" s="88"/>
      <c r="H33" s="88"/>
      <c r="I33" s="88"/>
      <c r="J33" s="88"/>
      <c r="K33" s="88"/>
      <c r="L33" s="88"/>
      <c r="M33" s="88"/>
      <c r="N33" s="88"/>
      <c r="O33" s="89"/>
      <c r="P33" s="14"/>
      <c r="Q33" s="14"/>
      <c r="R33" s="14"/>
      <c r="S33" s="14">
        <f t="shared" si="13"/>
        <v>0</v>
      </c>
      <c r="T33" s="14" t="str">
        <f t="shared" si="6"/>
        <v/>
      </c>
      <c r="U33" s="14">
        <f t="shared" si="1"/>
        <v>0</v>
      </c>
      <c r="V33" s="14" t="str">
        <f t="shared" si="7"/>
        <v/>
      </c>
      <c r="W33" s="14">
        <f t="shared" si="2"/>
        <v>0</v>
      </c>
      <c r="X33" s="14" t="str">
        <f t="shared" si="8"/>
        <v/>
      </c>
      <c r="Y33" s="14">
        <f t="shared" si="3"/>
        <v>0</v>
      </c>
      <c r="Z33" s="14" t="str">
        <f t="shared" si="9"/>
        <v/>
      </c>
      <c r="AA33" s="14">
        <f t="shared" si="4"/>
        <v>0</v>
      </c>
      <c r="AB33" s="14" t="str">
        <f t="shared" si="10"/>
        <v/>
      </c>
      <c r="AC33" s="14" t="b">
        <f>OR(S32&gt;=30,S31&gt;=45,S30&gt;=60,S29&gt;=240,S28&gt;=240,S27&gt;=240,S26&gt;=240,S25&gt;=240,S24&gt;=240,S23&gt;=240,S22&gt;=240,S21&gt;=240,S20&gt;=240,S19&gt;=240,S18&gt;=240,S17&gt;=480,S16&gt;=480,S15&gt;=480,S14&gt;=480,S13&gt;=480,S12&gt;=480,S11&gt;=480,S10&gt;=480,S9&gt;=480,S8&gt;=480,S7&gt;=480,S6&gt;=480,S5&gt;=480,S4&gt;=480)</f>
        <v>0</v>
      </c>
      <c r="AD33" s="14" t="b">
        <f>OR(U32&gt;=30,U31&gt;=45,U30&gt;=60,U29&gt;=240,U28&gt;=240,U27&gt;=240,U26&gt;=240,U25&gt;=240,U24&gt;=240,U23&gt;=240,U22&gt;=240,U21&gt;=240,U20&gt;=240,U19&gt;=240,U18&gt;=240,U17&gt;=480,U16&gt;=480,U15&gt;=480,U14&gt;=480,U13&gt;=480,U12&gt;=480,U11&gt;=480,U10&gt;=480,U9&gt;=480,U8&gt;=480,U7&gt;=480,U6&gt;=480,U5&gt;=480,U4&gt;=480)</f>
        <v>0</v>
      </c>
      <c r="AE33" s="14" t="b">
        <f>OR(W32&gt;=30,W31&gt;=45,W30&gt;=60,W29&gt;=240,W28&gt;=240,W27&gt;=240,W26&gt;=240,W25&gt;=240,W24&gt;=240,W23&gt;=240,W22&gt;=240,W21&gt;=240,W20&gt;=240,W19&gt;=240,W18&gt;=240,W17&gt;=480,W16&gt;=480,W15&gt;=480,W14&gt;=480,W13&gt;=480,W12&gt;=480,W11&gt;=480,W10&gt;=480,W9&gt;=480,W8&gt;=480,W7&gt;=480,W6&gt;=480,W5&gt;=480,W4&gt;=480)</f>
        <v>0</v>
      </c>
      <c r="AF33" s="14" t="b">
        <f>OR(Y32&gt;=30,Y31&gt;=45,Y30&gt;=60,Y29&gt;=240,Y28&gt;=240,Y27&gt;=240,Y26&gt;=240,Y25&gt;=240,Y24&gt;=240,Y23&gt;=240,Y22&gt;=240,Y21&gt;=240,Y20&gt;=240,Y19&gt;=240,Y18&gt;=240,Y17&gt;=480,Y16&gt;=480,Y15&gt;=480,Y14&gt;=480,Y13&gt;=480,Y12&gt;=480,Y11&gt;=480,Y10&gt;=480,Y9&gt;=480,Y8&gt;=480,Y7&gt;=480,Y6&gt;=480,Y5&gt;=480,Y4&gt;=480)</f>
        <v>0</v>
      </c>
      <c r="AG33" s="14" t="b">
        <f>OR(AA32&gt;=30,AA31&gt;=45,AA30&gt;=60,AA29&gt;=240,AA28&gt;=240,AA27&gt;=240,AA26&gt;=240,AA25&gt;=240,AA24&gt;=240,AA23&gt;=240,AA22&gt;=240,AA21&gt;=240,AA20&gt;=240,AA19&gt;=240,AA18&gt;=240,AA17&gt;=480,AA16&gt;=480,AA15&gt;=480,AA14&gt;=480,AA13&gt;=480,AA12&gt;=480,AA11&gt;=480,AA10&gt;=480,AA9&gt;=480,AA8&gt;=480,AA7&gt;=480,AA6&gt;=480,AA5&gt;=480,AA4&gt;=480)</f>
        <v>0</v>
      </c>
      <c r="AH33" s="14"/>
      <c r="AI33" s="14"/>
      <c r="AJ33" s="14"/>
      <c r="AK33" s="14"/>
      <c r="AL33" s="14"/>
      <c r="AM33" s="14"/>
      <c r="AW33" t="s">
        <v>157</v>
      </c>
      <c r="AX33">
        <v>0</v>
      </c>
    </row>
    <row r="34" spans="1:50" ht="20.100000000000001" customHeight="1" thickBot="1" x14ac:dyDescent="0.3">
      <c r="A34" s="14"/>
      <c r="B34" s="14"/>
      <c r="C34" s="14"/>
      <c r="D34" s="14"/>
      <c r="E34" s="24">
        <v>0.61458333333333337</v>
      </c>
      <c r="F34" s="88"/>
      <c r="G34" s="88"/>
      <c r="H34" s="88"/>
      <c r="I34" s="88"/>
      <c r="J34" s="88"/>
      <c r="K34" s="88"/>
      <c r="L34" s="88"/>
      <c r="M34" s="88"/>
      <c r="N34" s="88"/>
      <c r="O34" s="89"/>
      <c r="P34" s="14"/>
      <c r="Q34" s="14"/>
      <c r="R34" s="14"/>
      <c r="S34" s="14">
        <f t="shared" si="13"/>
        <v>0</v>
      </c>
      <c r="T34" s="14" t="str">
        <f t="shared" si="6"/>
        <v/>
      </c>
      <c r="U34" s="14">
        <f t="shared" si="1"/>
        <v>0</v>
      </c>
      <c r="V34" s="14" t="str">
        <f t="shared" si="7"/>
        <v/>
      </c>
      <c r="W34" s="14">
        <f t="shared" si="2"/>
        <v>0</v>
      </c>
      <c r="X34" s="14" t="str">
        <f t="shared" si="8"/>
        <v/>
      </c>
      <c r="Y34" s="14">
        <f t="shared" si="3"/>
        <v>0</v>
      </c>
      <c r="Z34" s="14" t="str">
        <f t="shared" si="9"/>
        <v/>
      </c>
      <c r="AA34" s="14">
        <f t="shared" si="4"/>
        <v>0</v>
      </c>
      <c r="AB34" s="14" t="str">
        <f t="shared" si="10"/>
        <v/>
      </c>
      <c r="AC34" s="14" t="b">
        <f>OR(S33&gt;=30,S32&gt;=45,S31&gt;=60,S30&gt;=240,S29&gt;=240,S28&gt;=240,S27&gt;=240,S26&gt;=240,S25&gt;=240,S24&gt;=240,S23&gt;=240,S22&gt;=240,S21&gt;=240,S20&gt;=240,S19&gt;=240,S18&gt;=480,S17&gt;=480,S16&gt;=480,S15&gt;=480,S14&gt;=480,S13&gt;=480,S12&gt;=480,S11&gt;=480,S10&gt;=480,S9&gt;=480,S8&gt;=480,S7&gt;=480,S6&gt;=480,S5&gt;=480,S4&gt;=480)</f>
        <v>0</v>
      </c>
      <c r="AD34" s="14" t="b">
        <f>OR(U33&gt;=30,U32&gt;=45,U31&gt;=60,U30&gt;=240,U29&gt;=240,U28&gt;=240,U27&gt;=240,U26&gt;=240,U25&gt;=240,U24&gt;=240,U23&gt;=240,U22&gt;=240,U21&gt;=240,U20&gt;=240,U19&gt;=240,U18&gt;=480,U17&gt;=480,U16&gt;=480,U15&gt;=480,U14&gt;=480,U13&gt;=480,U12&gt;=480,U11&gt;=480,U10&gt;=480,U9&gt;=480,U8&gt;=480,U7&gt;=480,U6&gt;=480,U5&gt;=480,U4&gt;=480)</f>
        <v>0</v>
      </c>
      <c r="AE34" s="14" t="b">
        <f>OR(W33&gt;=30,W32&gt;=45,W31&gt;=60,W30&gt;=240,W29&gt;=240,W28&gt;=240,W27&gt;=240,W26&gt;=240,W25&gt;=240,W24&gt;=240,W23&gt;=240,W22&gt;=240,W21&gt;=240,W20&gt;=240,W19&gt;=240,W18&gt;=480,W17&gt;=480,W16&gt;=480,W15&gt;=480,W14&gt;=480,W13&gt;=480,W12&gt;=480,W11&gt;=480,W10&gt;=480,W9&gt;=480,W8&gt;=480,W7&gt;=480,W6&gt;=480,W5&gt;=480,W4&gt;=480)</f>
        <v>0</v>
      </c>
      <c r="AF34" s="14" t="b">
        <f>OR(Y33&gt;=30,Y32&gt;=45,Y31&gt;=60,Y30&gt;=240,Y29&gt;=240,Y28&gt;=240,Y27&gt;=240,Y26&gt;=240,Y25&gt;=240,Y24&gt;=240,Y23&gt;=240,Y22&gt;=240,Y21&gt;=240,Y20&gt;=240,Y19&gt;=240,Y18&gt;=480,Y17&gt;=480,Y16&gt;=480,Y15&gt;=480,Y14&gt;=480,Y13&gt;=480,Y12&gt;=480,Y11&gt;=480,Y10&gt;=480,Y9&gt;=480,Y8&gt;=480,Y7&gt;=480,Y6&gt;=480,Y5&gt;=480,Y4&gt;=480)</f>
        <v>0</v>
      </c>
      <c r="AG34" s="14" t="b">
        <f>OR(AA33&gt;=30,AA32&gt;=45,AA31&gt;=60,AA30&gt;=240,AA29&gt;=240,AA28&gt;=240,AA27&gt;=240,AA26&gt;=240,AA25&gt;=240,AA24&gt;=240,AA23&gt;=240,AA22&gt;=240,AA21&gt;=240,AA20&gt;=240,AA19&gt;=240,AA18&gt;=480,AA17&gt;=480,AA16&gt;=480,AA15&gt;=480,AA14&gt;=480,AA13&gt;=480,AA12&gt;=480,AA11&gt;=480,AA10&gt;=480,AA9&gt;=480,AA8&gt;=480,AA7&gt;=480,AA6&gt;=480,AA5&gt;=480,AA4&gt;=480)</f>
        <v>0</v>
      </c>
      <c r="AH34" s="14"/>
      <c r="AI34" s="14"/>
      <c r="AJ34" s="14"/>
      <c r="AK34" s="14"/>
      <c r="AL34" s="14"/>
      <c r="AM34" s="14"/>
    </row>
    <row r="35" spans="1:50" ht="20.100000000000001" customHeight="1" thickTop="1" thickBot="1" x14ac:dyDescent="0.3">
      <c r="A35" s="129" t="s">
        <v>191</v>
      </c>
      <c r="B35" s="130"/>
      <c r="C35" s="131"/>
      <c r="D35" s="14"/>
      <c r="E35" s="24">
        <v>0.625</v>
      </c>
      <c r="F35" s="88"/>
      <c r="G35" s="88"/>
      <c r="H35" s="88"/>
      <c r="I35" s="88"/>
      <c r="J35" s="88"/>
      <c r="K35" s="88"/>
      <c r="L35" s="88"/>
      <c r="M35" s="88"/>
      <c r="N35" s="88"/>
      <c r="O35" s="89"/>
      <c r="P35" s="14"/>
      <c r="Q35" s="14"/>
      <c r="R35" s="14"/>
      <c r="S35" s="14">
        <f t="shared" si="13"/>
        <v>0</v>
      </c>
      <c r="T35" s="14" t="str">
        <f t="shared" si="6"/>
        <v/>
      </c>
      <c r="U35" s="14">
        <f t="shared" si="1"/>
        <v>0</v>
      </c>
      <c r="V35" s="14" t="str">
        <f t="shared" si="7"/>
        <v/>
      </c>
      <c r="W35" s="14">
        <f t="shared" si="2"/>
        <v>0</v>
      </c>
      <c r="X35" s="14" t="str">
        <f t="shared" si="8"/>
        <v/>
      </c>
      <c r="Y35" s="14">
        <f t="shared" si="3"/>
        <v>0</v>
      </c>
      <c r="Z35" s="14" t="str">
        <f t="shared" si="9"/>
        <v/>
      </c>
      <c r="AA35" s="14">
        <f t="shared" si="4"/>
        <v>0</v>
      </c>
      <c r="AB35" s="14" t="str">
        <f t="shared" si="10"/>
        <v/>
      </c>
      <c r="AC35" s="14" t="b">
        <f t="shared" ref="AC35:AC48" si="14">OR(S34&gt;=30,S33&gt;=45,S32&gt;=60,S31&gt;=240,S30&gt;=240,S29&gt;=240,S28&gt;=240,S27&gt;=240,S26&gt;=240,S25&gt;=240,S24&gt;=240,S23&gt;=240,S22&gt;=240,S21&gt;=240,S20&gt;=240,S19&gt;=480,S18&gt;=480,S17&gt;=480,S16&gt;=480,S15&gt;=480,S14&gt;=480,S13&gt;=480,S12&gt;=480,S11&gt;=480,S10&gt;=480,S9&gt;=480,S8&gt;=480,S7&gt;=480,S6&gt;=480,S5&gt;=480,S4&gt;=480)</f>
        <v>0</v>
      </c>
      <c r="AD35" s="14" t="b">
        <f t="shared" ref="AD35:AD48" si="15">OR(U34&gt;=30,U33&gt;=45,U32&gt;=60,U31&gt;=240,U30&gt;=240,U29&gt;=240,U28&gt;=240,U27&gt;=240,U26&gt;=240,U25&gt;=240,U24&gt;=240,U23&gt;=240,U22&gt;=240,U21&gt;=240,U20&gt;=240,U19&gt;=480,U18&gt;=480,U17&gt;=480,U16&gt;=480,U15&gt;=480,U14&gt;=480,U13&gt;=480,U12&gt;=480,U11&gt;=480,U10&gt;=480,U9&gt;=480,U8&gt;=480,U7&gt;=480,U6&gt;=480,U5&gt;=480,U4&gt;=480)</f>
        <v>0</v>
      </c>
      <c r="AE35" s="14" t="b">
        <f t="shared" ref="AE35:AE48" si="16">OR(W34&gt;=30,W33&gt;=45,W32&gt;=60,W31&gt;=240,W30&gt;=240,W29&gt;=240,W28&gt;=240,W27&gt;=240,W26&gt;=240,W25&gt;=240,W24&gt;=240,W23&gt;=240,W22&gt;=240,W21&gt;=240,W20&gt;=240,W19&gt;=480,W18&gt;=480,W17&gt;=480,W16&gt;=480,W15&gt;=480,W14&gt;=480,W13&gt;=480,W12&gt;=480,W11&gt;=480,W10&gt;=480,W9&gt;=480,W8&gt;=480,W7&gt;=480,W6&gt;=480,W5&gt;=480,W4&gt;=480)</f>
        <v>0</v>
      </c>
      <c r="AF35" s="14" t="b">
        <f t="shared" ref="AF35:AF48" si="17">OR(Y34&gt;=30,Y33&gt;=45,Y32&gt;=60,Y31&gt;=240,Y30&gt;=240,Y29&gt;=240,Y28&gt;=240,Y27&gt;=240,Y26&gt;=240,Y25&gt;=240,Y24&gt;=240,Y23&gt;=240,Y22&gt;=240,Y21&gt;=240,Y20&gt;=240,Y19&gt;=480,Y18&gt;=480,Y17&gt;=480,Y16&gt;=480,Y15&gt;=480,Y14&gt;=480,Y13&gt;=480,Y12&gt;=480,Y11&gt;=480,Y10&gt;=480,Y9&gt;=480,Y8&gt;=480,Y7&gt;=480,Y6&gt;=480,Y5&gt;=480,Y4&gt;=480)</f>
        <v>0</v>
      </c>
      <c r="AG35" s="14" t="b">
        <f t="shared" ref="AG35:AG48" si="18">OR(AA34&gt;=30,AA33&gt;=45,AA32&gt;=60,AA31&gt;=240,AA30&gt;=240,AA29&gt;=240,AA28&gt;=240,AA27&gt;=240,AA26&gt;=240,AA25&gt;=240,AA24&gt;=240,AA23&gt;=240,AA22&gt;=240,AA21&gt;=240,AA20&gt;=240,AA19&gt;=480,AA18&gt;=480,AA17&gt;=480,AA16&gt;=480,AA15&gt;=480,AA14&gt;=480,AA13&gt;=480,AA12&gt;=480,AA11&gt;=480,AA10&gt;=480,AA9&gt;=480,AA8&gt;=480,AA7&gt;=480,AA6&gt;=480,AA5&gt;=480,AA4&gt;=480)</f>
        <v>0</v>
      </c>
      <c r="AH35" s="14"/>
      <c r="AI35" s="14"/>
      <c r="AJ35" s="14"/>
      <c r="AK35" s="14"/>
      <c r="AL35" s="14"/>
      <c r="AM35" s="14"/>
    </row>
    <row r="36" spans="1:50" ht="20.100000000000001" customHeight="1" thickTop="1" x14ac:dyDescent="0.25">
      <c r="A36" s="34" t="s">
        <v>192</v>
      </c>
      <c r="B36" s="35"/>
      <c r="C36" s="57" t="s">
        <v>85</v>
      </c>
      <c r="D36" s="14"/>
      <c r="E36" s="24">
        <v>0.63541666666666663</v>
      </c>
      <c r="F36" s="88"/>
      <c r="G36" s="88"/>
      <c r="H36" s="88"/>
      <c r="I36" s="88"/>
      <c r="J36" s="88"/>
      <c r="K36" s="88"/>
      <c r="L36" s="88"/>
      <c r="M36" s="88"/>
      <c r="N36" s="88"/>
      <c r="O36" s="89"/>
      <c r="P36" s="14"/>
      <c r="Q36" s="14"/>
      <c r="R36" s="14"/>
      <c r="S36" s="14">
        <f t="shared" si="13"/>
        <v>0</v>
      </c>
      <c r="T36" s="14" t="str">
        <f t="shared" si="6"/>
        <v/>
      </c>
      <c r="U36" s="14">
        <f t="shared" si="1"/>
        <v>0</v>
      </c>
      <c r="V36" s="14" t="str">
        <f t="shared" si="7"/>
        <v/>
      </c>
      <c r="W36" s="14">
        <f t="shared" si="2"/>
        <v>0</v>
      </c>
      <c r="X36" s="14" t="str">
        <f t="shared" si="8"/>
        <v/>
      </c>
      <c r="Y36" s="14">
        <f t="shared" si="3"/>
        <v>0</v>
      </c>
      <c r="Z36" s="14" t="str">
        <f t="shared" si="9"/>
        <v/>
      </c>
      <c r="AA36" s="14">
        <f t="shared" si="4"/>
        <v>0</v>
      </c>
      <c r="AB36" s="14" t="str">
        <f t="shared" si="10"/>
        <v/>
      </c>
      <c r="AC36" s="14" t="b">
        <f t="shared" si="14"/>
        <v>0</v>
      </c>
      <c r="AD36" s="14" t="b">
        <f t="shared" si="15"/>
        <v>0</v>
      </c>
      <c r="AE36" s="14" t="b">
        <f t="shared" si="16"/>
        <v>0</v>
      </c>
      <c r="AF36" s="14" t="b">
        <f t="shared" si="17"/>
        <v>0</v>
      </c>
      <c r="AG36" s="14" t="b">
        <f t="shared" si="18"/>
        <v>0</v>
      </c>
      <c r="AH36" s="14"/>
      <c r="AI36" s="14"/>
      <c r="AJ36" s="14"/>
      <c r="AK36" s="14"/>
      <c r="AL36" s="14"/>
      <c r="AM36" s="14"/>
    </row>
    <row r="37" spans="1:50" ht="20.100000000000001" customHeight="1" x14ac:dyDescent="0.25">
      <c r="A37" s="34" t="s">
        <v>29</v>
      </c>
      <c r="B37" s="35"/>
      <c r="C37" s="36">
        <f>IFERROR(VLOOKUP(C36,'Client data'!A3:E55,2,FALSE),"")</f>
        <v>46166</v>
      </c>
      <c r="D37" s="14"/>
      <c r="E37" s="24">
        <v>0.64583333333333337</v>
      </c>
      <c r="F37" s="88"/>
      <c r="G37" s="88"/>
      <c r="H37" s="88"/>
      <c r="I37" s="88"/>
      <c r="J37" s="88"/>
      <c r="K37" s="88"/>
      <c r="L37" s="88"/>
      <c r="M37" s="88"/>
      <c r="N37" s="88"/>
      <c r="O37" s="89"/>
      <c r="P37" s="14"/>
      <c r="Q37" s="14"/>
      <c r="R37" s="14"/>
      <c r="S37" s="14">
        <f t="shared" si="13"/>
        <v>0</v>
      </c>
      <c r="T37" s="14" t="str">
        <f t="shared" si="6"/>
        <v/>
      </c>
      <c r="U37" s="14">
        <f t="shared" si="1"/>
        <v>0</v>
      </c>
      <c r="V37" s="14" t="str">
        <f t="shared" si="7"/>
        <v/>
      </c>
      <c r="W37" s="14">
        <f t="shared" si="2"/>
        <v>0</v>
      </c>
      <c r="X37" s="14" t="str">
        <f t="shared" si="8"/>
        <v/>
      </c>
      <c r="Y37" s="14">
        <f t="shared" si="3"/>
        <v>0</v>
      </c>
      <c r="Z37" s="14" t="str">
        <f t="shared" si="9"/>
        <v/>
      </c>
      <c r="AA37" s="14">
        <f t="shared" si="4"/>
        <v>0</v>
      </c>
      <c r="AB37" s="14" t="str">
        <f t="shared" si="10"/>
        <v/>
      </c>
      <c r="AC37" s="14" t="b">
        <f t="shared" si="14"/>
        <v>0</v>
      </c>
      <c r="AD37" s="14" t="b">
        <f t="shared" si="15"/>
        <v>0</v>
      </c>
      <c r="AE37" s="14" t="b">
        <f t="shared" si="16"/>
        <v>0</v>
      </c>
      <c r="AF37" s="14" t="b">
        <f t="shared" si="17"/>
        <v>0</v>
      </c>
      <c r="AG37" s="14" t="b">
        <f t="shared" si="18"/>
        <v>0</v>
      </c>
      <c r="AH37" s="14"/>
      <c r="AI37" s="14"/>
      <c r="AJ37" s="14"/>
      <c r="AK37" s="14"/>
      <c r="AL37" s="14"/>
      <c r="AM37" s="14"/>
    </row>
    <row r="38" spans="1:50" ht="20.100000000000001" customHeight="1" thickBot="1" x14ac:dyDescent="0.3">
      <c r="A38" s="37" t="s">
        <v>53</v>
      </c>
      <c r="B38" s="38"/>
      <c r="C38" s="39" t="str">
        <f>IFERROR(VLOOKUP(C36,'Client data'!A3:E55,4,FALSE),"")</f>
        <v>PSC-17</v>
      </c>
      <c r="D38" s="14"/>
      <c r="E38" s="24">
        <v>0.65625</v>
      </c>
      <c r="F38" s="88"/>
      <c r="G38" s="88"/>
      <c r="H38" s="88"/>
      <c r="I38" s="88"/>
      <c r="J38" s="88"/>
      <c r="K38" s="88"/>
      <c r="L38" s="88"/>
      <c r="M38" s="88"/>
      <c r="N38" s="88"/>
      <c r="O38" s="89"/>
      <c r="P38" s="14"/>
      <c r="Q38" s="14"/>
      <c r="R38" s="14"/>
      <c r="S38" s="14">
        <f t="shared" si="13"/>
        <v>0</v>
      </c>
      <c r="T38" s="14" t="str">
        <f t="shared" si="6"/>
        <v/>
      </c>
      <c r="U38" s="14">
        <f t="shared" si="1"/>
        <v>0</v>
      </c>
      <c r="V38" s="14" t="str">
        <f t="shared" si="7"/>
        <v/>
      </c>
      <c r="W38" s="14">
        <f t="shared" si="2"/>
        <v>0</v>
      </c>
      <c r="X38" s="14" t="str">
        <f t="shared" si="8"/>
        <v/>
      </c>
      <c r="Y38" s="14">
        <f t="shared" si="3"/>
        <v>0</v>
      </c>
      <c r="Z38" s="14" t="str">
        <f t="shared" si="9"/>
        <v/>
      </c>
      <c r="AA38" s="14">
        <f t="shared" si="4"/>
        <v>0</v>
      </c>
      <c r="AB38" s="14" t="str">
        <f t="shared" si="10"/>
        <v/>
      </c>
      <c r="AC38" s="14" t="b">
        <f t="shared" si="14"/>
        <v>0</v>
      </c>
      <c r="AD38" s="14" t="b">
        <f t="shared" si="15"/>
        <v>0</v>
      </c>
      <c r="AE38" s="14" t="b">
        <f t="shared" si="16"/>
        <v>0</v>
      </c>
      <c r="AF38" s="14" t="b">
        <f t="shared" si="17"/>
        <v>0</v>
      </c>
      <c r="AG38" s="14" t="b">
        <f t="shared" si="18"/>
        <v>0</v>
      </c>
      <c r="AH38" s="14"/>
      <c r="AI38" s="14"/>
      <c r="AJ38" s="14"/>
      <c r="AK38" s="14"/>
      <c r="AL38" s="14"/>
      <c r="AM38" s="14"/>
    </row>
    <row r="39" spans="1:50" ht="20.100000000000001" customHeight="1" thickTop="1" x14ac:dyDescent="0.25">
      <c r="A39" s="3"/>
      <c r="B39" s="3"/>
      <c r="C39" s="3"/>
      <c r="D39" s="14"/>
      <c r="E39" s="24">
        <v>0.66666666666666663</v>
      </c>
      <c r="F39" s="88"/>
      <c r="G39" s="88"/>
      <c r="H39" s="88"/>
      <c r="I39" s="88"/>
      <c r="J39" s="88"/>
      <c r="K39" s="88"/>
      <c r="L39" s="88"/>
      <c r="M39" s="88"/>
      <c r="N39" s="88"/>
      <c r="O39" s="89"/>
      <c r="P39" s="14"/>
      <c r="Q39" s="14"/>
      <c r="R39" s="14"/>
      <c r="S39" s="14">
        <f t="shared" si="13"/>
        <v>0</v>
      </c>
      <c r="T39" s="14" t="str">
        <f t="shared" si="6"/>
        <v/>
      </c>
      <c r="U39" s="14">
        <f t="shared" si="1"/>
        <v>0</v>
      </c>
      <c r="V39" s="14" t="str">
        <f t="shared" si="7"/>
        <v/>
      </c>
      <c r="W39" s="14">
        <f t="shared" si="2"/>
        <v>0</v>
      </c>
      <c r="X39" s="14" t="str">
        <f t="shared" si="8"/>
        <v/>
      </c>
      <c r="Y39" s="14">
        <f t="shared" si="3"/>
        <v>0</v>
      </c>
      <c r="Z39" s="14" t="str">
        <f t="shared" si="9"/>
        <v/>
      </c>
      <c r="AA39" s="14">
        <f t="shared" si="4"/>
        <v>0</v>
      </c>
      <c r="AB39" s="14" t="str">
        <f t="shared" si="10"/>
        <v/>
      </c>
      <c r="AC39" s="14" t="b">
        <f t="shared" si="14"/>
        <v>0</v>
      </c>
      <c r="AD39" s="14" t="b">
        <f t="shared" si="15"/>
        <v>0</v>
      </c>
      <c r="AE39" s="14" t="b">
        <f t="shared" si="16"/>
        <v>0</v>
      </c>
      <c r="AF39" s="14" t="b">
        <f t="shared" si="17"/>
        <v>0</v>
      </c>
      <c r="AG39" s="14" t="b">
        <f t="shared" si="18"/>
        <v>0</v>
      </c>
      <c r="AH39" s="14"/>
      <c r="AI39" s="14"/>
      <c r="AJ39" s="14"/>
      <c r="AK39" s="14"/>
      <c r="AL39" s="14"/>
      <c r="AM39" s="14"/>
    </row>
    <row r="40" spans="1:50" ht="20.100000000000001" customHeight="1" thickBot="1" x14ac:dyDescent="0.3">
      <c r="A40" s="14"/>
      <c r="B40" s="14"/>
      <c r="C40" s="14"/>
      <c r="D40" s="14"/>
      <c r="E40" s="24">
        <v>0.67708333333333337</v>
      </c>
      <c r="F40" s="88"/>
      <c r="G40" s="88"/>
      <c r="H40" s="88"/>
      <c r="I40" s="88"/>
      <c r="J40" s="88"/>
      <c r="K40" s="88"/>
      <c r="L40" s="88"/>
      <c r="M40" s="88"/>
      <c r="N40" s="88"/>
      <c r="O40" s="89"/>
      <c r="P40" s="14"/>
      <c r="Q40" s="14"/>
      <c r="R40" s="14"/>
      <c r="S40" s="14">
        <f t="shared" si="13"/>
        <v>0</v>
      </c>
      <c r="T40" s="14" t="str">
        <f t="shared" si="6"/>
        <v/>
      </c>
      <c r="U40" s="14">
        <f t="shared" si="1"/>
        <v>0</v>
      </c>
      <c r="V40" s="14" t="str">
        <f t="shared" si="7"/>
        <v/>
      </c>
      <c r="W40" s="14">
        <f t="shared" si="2"/>
        <v>0</v>
      </c>
      <c r="X40" s="14" t="str">
        <f t="shared" si="8"/>
        <v/>
      </c>
      <c r="Y40" s="14">
        <f t="shared" si="3"/>
        <v>0</v>
      </c>
      <c r="Z40" s="14" t="str">
        <f t="shared" si="9"/>
        <v/>
      </c>
      <c r="AA40" s="14">
        <f t="shared" si="4"/>
        <v>0</v>
      </c>
      <c r="AB40" s="14" t="str">
        <f t="shared" si="10"/>
        <v/>
      </c>
      <c r="AC40" s="14" t="b">
        <f t="shared" si="14"/>
        <v>0</v>
      </c>
      <c r="AD40" s="14" t="b">
        <f t="shared" si="15"/>
        <v>0</v>
      </c>
      <c r="AE40" s="14" t="b">
        <f t="shared" si="16"/>
        <v>0</v>
      </c>
      <c r="AF40" s="14" t="b">
        <f t="shared" si="17"/>
        <v>0</v>
      </c>
      <c r="AG40" s="14" t="b">
        <f t="shared" si="18"/>
        <v>0</v>
      </c>
      <c r="AH40" s="14"/>
      <c r="AI40" s="14"/>
      <c r="AJ40" s="14"/>
      <c r="AK40" s="14"/>
      <c r="AL40" s="14"/>
      <c r="AM40" s="14"/>
    </row>
    <row r="41" spans="1:50" ht="20.100000000000001" customHeight="1" thickTop="1" x14ac:dyDescent="0.3">
      <c r="A41" s="151" t="s">
        <v>194</v>
      </c>
      <c r="B41" s="140"/>
      <c r="C41" s="141"/>
      <c r="D41" s="14"/>
      <c r="E41" s="24">
        <v>0.6875</v>
      </c>
      <c r="F41" s="88"/>
      <c r="G41" s="88"/>
      <c r="H41" s="88"/>
      <c r="I41" s="88"/>
      <c r="J41" s="88"/>
      <c r="K41" s="88"/>
      <c r="L41" s="88"/>
      <c r="M41" s="88"/>
      <c r="N41" s="88"/>
      <c r="O41" s="89"/>
      <c r="P41" s="14"/>
      <c r="Q41" s="14"/>
      <c r="R41" s="14"/>
      <c r="S41" s="14">
        <f t="shared" si="13"/>
        <v>0</v>
      </c>
      <c r="T41" s="14" t="str">
        <f t="shared" si="6"/>
        <v/>
      </c>
      <c r="U41" s="14">
        <f t="shared" si="1"/>
        <v>0</v>
      </c>
      <c r="V41" s="14" t="str">
        <f t="shared" si="7"/>
        <v/>
      </c>
      <c r="W41" s="14">
        <f t="shared" si="2"/>
        <v>0</v>
      </c>
      <c r="X41" s="14" t="str">
        <f t="shared" si="8"/>
        <v/>
      </c>
      <c r="Y41" s="14">
        <f t="shared" si="3"/>
        <v>0</v>
      </c>
      <c r="Z41" s="14" t="str">
        <f t="shared" si="9"/>
        <v/>
      </c>
      <c r="AA41" s="14">
        <f t="shared" si="4"/>
        <v>0</v>
      </c>
      <c r="AB41" s="14" t="str">
        <f t="shared" si="10"/>
        <v/>
      </c>
      <c r="AC41" s="14" t="b">
        <f t="shared" si="14"/>
        <v>0</v>
      </c>
      <c r="AD41" s="14" t="b">
        <f t="shared" si="15"/>
        <v>0</v>
      </c>
      <c r="AE41" s="14" t="b">
        <f t="shared" si="16"/>
        <v>0</v>
      </c>
      <c r="AF41" s="14" t="b">
        <f t="shared" si="17"/>
        <v>0</v>
      </c>
      <c r="AG41" s="14" t="b">
        <f t="shared" si="18"/>
        <v>0</v>
      </c>
      <c r="AH41" s="14"/>
      <c r="AI41" s="14"/>
      <c r="AJ41" s="14"/>
      <c r="AK41" s="14"/>
      <c r="AL41" s="14"/>
      <c r="AM41" s="14"/>
    </row>
    <row r="42" spans="1:50" ht="20.100000000000001" customHeight="1" x14ac:dyDescent="0.25">
      <c r="A42" s="101"/>
      <c r="B42" s="102"/>
      <c r="C42" s="103"/>
      <c r="D42" s="14"/>
      <c r="E42" s="24">
        <v>0.69791666666666663</v>
      </c>
      <c r="F42" s="88"/>
      <c r="G42" s="88"/>
      <c r="H42" s="88"/>
      <c r="I42" s="88"/>
      <c r="J42" s="88"/>
      <c r="K42" s="88"/>
      <c r="L42" s="88"/>
      <c r="M42" s="88"/>
      <c r="N42" s="88"/>
      <c r="O42" s="89"/>
      <c r="P42" s="14"/>
      <c r="Q42" s="14"/>
      <c r="R42" s="14"/>
      <c r="S42" s="14">
        <f t="shared" si="13"/>
        <v>0</v>
      </c>
      <c r="T42" s="14" t="str">
        <f t="shared" si="6"/>
        <v/>
      </c>
      <c r="U42" s="14">
        <f t="shared" si="1"/>
        <v>0</v>
      </c>
      <c r="V42" s="14" t="str">
        <f t="shared" si="7"/>
        <v/>
      </c>
      <c r="W42" s="14">
        <f t="shared" si="2"/>
        <v>0</v>
      </c>
      <c r="X42" s="14" t="str">
        <f t="shared" si="8"/>
        <v/>
      </c>
      <c r="Y42" s="14">
        <f t="shared" si="3"/>
        <v>0</v>
      </c>
      <c r="Z42" s="14" t="str">
        <f t="shared" si="9"/>
        <v/>
      </c>
      <c r="AA42" s="14">
        <f t="shared" si="4"/>
        <v>0</v>
      </c>
      <c r="AB42" s="14" t="str">
        <f t="shared" si="10"/>
        <v/>
      </c>
      <c r="AC42" s="14" t="b">
        <f t="shared" si="14"/>
        <v>0</v>
      </c>
      <c r="AD42" s="14" t="b">
        <f t="shared" si="15"/>
        <v>0</v>
      </c>
      <c r="AE42" s="14" t="b">
        <f t="shared" si="16"/>
        <v>0</v>
      </c>
      <c r="AF42" s="14" t="b">
        <f t="shared" si="17"/>
        <v>0</v>
      </c>
      <c r="AG42" s="14" t="b">
        <f t="shared" si="18"/>
        <v>0</v>
      </c>
      <c r="AH42" s="14"/>
      <c r="AI42" s="14"/>
      <c r="AJ42" s="14"/>
      <c r="AK42" s="14"/>
      <c r="AL42" s="14"/>
      <c r="AM42" s="14"/>
    </row>
    <row r="43" spans="1:50" ht="20.100000000000001" customHeight="1" x14ac:dyDescent="0.25">
      <c r="A43" s="166" t="str">
        <f>HYPERLINK("#define!A1","🎯 DEFINING CSGs")</f>
        <v>🎯 DEFINING CSGs</v>
      </c>
      <c r="B43" s="166"/>
      <c r="C43" s="167"/>
      <c r="D43" s="14"/>
      <c r="E43" s="24">
        <v>0.70833333333333337</v>
      </c>
      <c r="F43" s="88"/>
      <c r="G43" s="88"/>
      <c r="H43" s="88"/>
      <c r="I43" s="88"/>
      <c r="J43" s="88"/>
      <c r="K43" s="88"/>
      <c r="L43" s="88"/>
      <c r="M43" s="88"/>
      <c r="N43" s="88"/>
      <c r="O43" s="89"/>
      <c r="P43" s="14"/>
      <c r="Q43" s="14"/>
      <c r="R43" s="14"/>
      <c r="S43" s="14">
        <f t="shared" si="13"/>
        <v>0</v>
      </c>
      <c r="T43" s="14" t="str">
        <f t="shared" si="6"/>
        <v/>
      </c>
      <c r="U43" s="14">
        <f t="shared" si="1"/>
        <v>0</v>
      </c>
      <c r="V43" s="14" t="str">
        <f t="shared" si="7"/>
        <v/>
      </c>
      <c r="W43" s="14">
        <f t="shared" si="2"/>
        <v>0</v>
      </c>
      <c r="X43" s="14" t="str">
        <f t="shared" si="8"/>
        <v/>
      </c>
      <c r="Y43" s="14">
        <f t="shared" si="3"/>
        <v>0</v>
      </c>
      <c r="Z43" s="14" t="str">
        <f t="shared" si="9"/>
        <v/>
      </c>
      <c r="AA43" s="14">
        <f t="shared" si="4"/>
        <v>0</v>
      </c>
      <c r="AB43" s="14" t="str">
        <f t="shared" si="10"/>
        <v/>
      </c>
      <c r="AC43" s="14" t="b">
        <f t="shared" si="14"/>
        <v>0</v>
      </c>
      <c r="AD43" s="14" t="b">
        <f t="shared" si="15"/>
        <v>0</v>
      </c>
      <c r="AE43" s="14" t="b">
        <f t="shared" si="16"/>
        <v>0</v>
      </c>
      <c r="AF43" s="14" t="b">
        <f t="shared" si="17"/>
        <v>0</v>
      </c>
      <c r="AG43" s="14" t="b">
        <f t="shared" si="18"/>
        <v>0</v>
      </c>
      <c r="AH43" s="14"/>
      <c r="AI43" s="14"/>
      <c r="AJ43" s="14"/>
      <c r="AK43" s="14"/>
      <c r="AL43" s="14"/>
      <c r="AM43" s="14"/>
    </row>
    <row r="44" spans="1:50" ht="20.100000000000001" customHeight="1" x14ac:dyDescent="0.25">
      <c r="A44" s="166" t="s">
        <v>215</v>
      </c>
      <c r="B44" s="166"/>
      <c r="C44" s="166"/>
      <c r="D44" s="108"/>
      <c r="E44" s="24">
        <v>0.71875</v>
      </c>
      <c r="F44" s="88"/>
      <c r="G44" s="88"/>
      <c r="H44" s="88"/>
      <c r="I44" s="88"/>
      <c r="J44" s="88"/>
      <c r="K44" s="88"/>
      <c r="L44" s="88"/>
      <c r="M44" s="88"/>
      <c r="N44" s="88"/>
      <c r="O44" s="89"/>
      <c r="P44" s="14"/>
      <c r="Q44" s="14"/>
      <c r="R44" s="14"/>
      <c r="S44" s="14">
        <f t="shared" si="13"/>
        <v>0</v>
      </c>
      <c r="T44" s="14" t="str">
        <f t="shared" si="6"/>
        <v/>
      </c>
      <c r="U44" s="14">
        <f t="shared" si="1"/>
        <v>0</v>
      </c>
      <c r="V44" s="14" t="str">
        <f t="shared" si="7"/>
        <v/>
      </c>
      <c r="W44" s="14">
        <f t="shared" si="2"/>
        <v>0</v>
      </c>
      <c r="X44" s="14" t="str">
        <f t="shared" si="8"/>
        <v/>
      </c>
      <c r="Y44" s="14">
        <f t="shared" si="3"/>
        <v>0</v>
      </c>
      <c r="Z44" s="14" t="str">
        <f t="shared" si="9"/>
        <v/>
      </c>
      <c r="AA44" s="14">
        <f t="shared" si="4"/>
        <v>0</v>
      </c>
      <c r="AB44" s="14" t="str">
        <f t="shared" si="10"/>
        <v/>
      </c>
      <c r="AC44" s="14" t="b">
        <f t="shared" si="14"/>
        <v>0</v>
      </c>
      <c r="AD44" s="14" t="b">
        <f t="shared" si="15"/>
        <v>0</v>
      </c>
      <c r="AE44" s="14" t="b">
        <f t="shared" si="16"/>
        <v>0</v>
      </c>
      <c r="AF44" s="14" t="b">
        <f t="shared" si="17"/>
        <v>0</v>
      </c>
      <c r="AG44" s="14" t="b">
        <f t="shared" si="18"/>
        <v>0</v>
      </c>
      <c r="AH44" s="14"/>
      <c r="AI44" s="14"/>
      <c r="AJ44" s="14"/>
      <c r="AK44" s="14"/>
      <c r="AL44" s="14"/>
      <c r="AM44" s="14"/>
    </row>
    <row r="45" spans="1:50" ht="20.100000000000001" customHeight="1" x14ac:dyDescent="0.25">
      <c r="A45" s="166" t="s">
        <v>216</v>
      </c>
      <c r="B45" s="166"/>
      <c r="C45" s="166"/>
      <c r="D45" s="108"/>
      <c r="E45" s="24">
        <v>0.72916666666666663</v>
      </c>
      <c r="F45" s="88"/>
      <c r="G45" s="88"/>
      <c r="H45" s="88"/>
      <c r="I45" s="88"/>
      <c r="J45" s="88"/>
      <c r="K45" s="88"/>
      <c r="L45" s="88"/>
      <c r="M45" s="88"/>
      <c r="N45" s="88"/>
      <c r="O45" s="89"/>
      <c r="P45" s="14"/>
      <c r="Q45" s="14"/>
      <c r="R45" s="14"/>
      <c r="S45" s="14">
        <f t="shared" si="13"/>
        <v>0</v>
      </c>
      <c r="T45" s="14" t="str">
        <f t="shared" si="6"/>
        <v/>
      </c>
      <c r="U45" s="14">
        <f t="shared" si="1"/>
        <v>0</v>
      </c>
      <c r="V45" s="14" t="str">
        <f t="shared" si="7"/>
        <v/>
      </c>
      <c r="W45" s="14">
        <f t="shared" si="2"/>
        <v>0</v>
      </c>
      <c r="X45" s="14" t="str">
        <f t="shared" si="8"/>
        <v/>
      </c>
      <c r="Y45" s="14">
        <f t="shared" si="3"/>
        <v>0</v>
      </c>
      <c r="Z45" s="14" t="str">
        <f t="shared" si="9"/>
        <v/>
      </c>
      <c r="AA45" s="14">
        <f t="shared" si="4"/>
        <v>0</v>
      </c>
      <c r="AB45" s="14" t="str">
        <f t="shared" si="10"/>
        <v/>
      </c>
      <c r="AC45" s="14" t="b">
        <f t="shared" si="14"/>
        <v>0</v>
      </c>
      <c r="AD45" s="14" t="b">
        <f t="shared" si="15"/>
        <v>0</v>
      </c>
      <c r="AE45" s="14" t="b">
        <f t="shared" si="16"/>
        <v>0</v>
      </c>
      <c r="AF45" s="14" t="b">
        <f t="shared" si="17"/>
        <v>0</v>
      </c>
      <c r="AG45" s="14" t="b">
        <f t="shared" si="18"/>
        <v>0</v>
      </c>
      <c r="AH45" s="14"/>
      <c r="AI45" s="14"/>
      <c r="AJ45" s="14"/>
      <c r="AK45" s="14"/>
      <c r="AL45" s="14"/>
      <c r="AM45" s="14"/>
    </row>
    <row r="46" spans="1:50" ht="20.100000000000001" customHeight="1" x14ac:dyDescent="0.25">
      <c r="A46" s="2"/>
      <c r="B46" s="2"/>
      <c r="C46" s="107"/>
      <c r="D46" s="14"/>
      <c r="E46" s="24">
        <v>0.73958333333333337</v>
      </c>
      <c r="F46" s="88"/>
      <c r="G46" s="88"/>
      <c r="H46" s="88"/>
      <c r="I46" s="88"/>
      <c r="J46" s="88"/>
      <c r="K46" s="88"/>
      <c r="L46" s="88"/>
      <c r="M46" s="88"/>
      <c r="N46" s="88"/>
      <c r="O46" s="89"/>
      <c r="P46" s="14"/>
      <c r="Q46" s="14"/>
      <c r="R46" s="14"/>
      <c r="S46" s="14">
        <f t="shared" si="13"/>
        <v>0</v>
      </c>
      <c r="T46" s="14" t="str">
        <f t="shared" si="6"/>
        <v/>
      </c>
      <c r="U46" s="14">
        <f t="shared" si="1"/>
        <v>0</v>
      </c>
      <c r="V46" s="14" t="str">
        <f t="shared" si="7"/>
        <v/>
      </c>
      <c r="W46" s="14">
        <f t="shared" si="2"/>
        <v>0</v>
      </c>
      <c r="X46" s="14" t="str">
        <f t="shared" si="8"/>
        <v/>
      </c>
      <c r="Y46" s="14">
        <f t="shared" si="3"/>
        <v>0</v>
      </c>
      <c r="Z46" s="14" t="str">
        <f t="shared" si="9"/>
        <v/>
      </c>
      <c r="AA46" s="14">
        <f t="shared" si="4"/>
        <v>0</v>
      </c>
      <c r="AB46" s="14" t="str">
        <f t="shared" si="10"/>
        <v/>
      </c>
      <c r="AC46" s="14" t="b">
        <f t="shared" si="14"/>
        <v>0</v>
      </c>
      <c r="AD46" s="14" t="b">
        <f t="shared" si="15"/>
        <v>0</v>
      </c>
      <c r="AE46" s="14" t="b">
        <f t="shared" si="16"/>
        <v>0</v>
      </c>
      <c r="AF46" s="14" t="b">
        <f t="shared" si="17"/>
        <v>0</v>
      </c>
      <c r="AG46" s="14" t="b">
        <f t="shared" si="18"/>
        <v>0</v>
      </c>
      <c r="AH46" s="14"/>
      <c r="AI46" s="14"/>
      <c r="AJ46" s="14"/>
      <c r="AK46" s="14"/>
      <c r="AL46" s="14"/>
      <c r="AM46" s="14"/>
    </row>
    <row r="47" spans="1:50" ht="20.100000000000001" customHeight="1" thickBot="1" x14ac:dyDescent="0.3">
      <c r="A47" s="110"/>
      <c r="B47" s="2"/>
      <c r="C47" s="107"/>
      <c r="D47" s="14"/>
      <c r="E47" s="29">
        <v>0.75</v>
      </c>
      <c r="F47" s="90"/>
      <c r="G47" s="90"/>
      <c r="H47" s="90"/>
      <c r="I47" s="90"/>
      <c r="J47" s="90"/>
      <c r="K47" s="90"/>
      <c r="L47" s="90"/>
      <c r="M47" s="90"/>
      <c r="N47" s="90"/>
      <c r="O47" s="91"/>
      <c r="P47" s="14"/>
      <c r="Q47" s="14"/>
      <c r="R47" s="14"/>
      <c r="S47" s="14">
        <f t="shared" si="13"/>
        <v>0</v>
      </c>
      <c r="T47" s="14" t="str">
        <f t="shared" si="6"/>
        <v/>
      </c>
      <c r="U47" s="14">
        <f t="shared" si="1"/>
        <v>0</v>
      </c>
      <c r="V47" s="14" t="str">
        <f t="shared" si="7"/>
        <v/>
      </c>
      <c r="W47" s="14">
        <f t="shared" si="2"/>
        <v>0</v>
      </c>
      <c r="X47" s="14" t="str">
        <f t="shared" si="8"/>
        <v/>
      </c>
      <c r="Y47" s="14">
        <f t="shared" si="3"/>
        <v>0</v>
      </c>
      <c r="Z47" s="14" t="str">
        <f t="shared" si="9"/>
        <v/>
      </c>
      <c r="AA47" s="14">
        <f t="shared" si="4"/>
        <v>0</v>
      </c>
      <c r="AB47" s="14" t="str">
        <f t="shared" si="10"/>
        <v/>
      </c>
      <c r="AC47" s="14" t="b">
        <f t="shared" si="14"/>
        <v>0</v>
      </c>
      <c r="AD47" s="14" t="b">
        <f t="shared" si="15"/>
        <v>0</v>
      </c>
      <c r="AE47" s="14" t="b">
        <f t="shared" si="16"/>
        <v>0</v>
      </c>
      <c r="AF47" s="14" t="b">
        <f t="shared" si="17"/>
        <v>0</v>
      </c>
      <c r="AG47" s="14" t="b">
        <f t="shared" si="18"/>
        <v>0</v>
      </c>
      <c r="AH47" s="14"/>
      <c r="AI47" s="14"/>
      <c r="AJ47" s="14"/>
      <c r="AK47" s="14"/>
      <c r="AL47" s="14"/>
      <c r="AM47" s="14"/>
    </row>
    <row r="48" spans="1:50" ht="20.100000000000001" customHeight="1" thickTop="1" thickBot="1" x14ac:dyDescent="0.3">
      <c r="A48" s="106"/>
      <c r="B48" s="109"/>
      <c r="C48" s="109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>
        <f t="shared" si="13"/>
        <v>0</v>
      </c>
      <c r="T48" s="14">
        <f>IF(ISNUMBER(SEARCH("Group",F47)),IFERROR(G47*0.33,0),S48/60)</f>
        <v>0</v>
      </c>
      <c r="U48" s="14">
        <f t="shared" ref="U48" si="19">IFERROR(INDEX($P$2:$P$10,MATCH(H47,$Q$2:$Q$10,0)),0)</f>
        <v>0</v>
      </c>
      <c r="V48" s="14">
        <f>IF(ISNUMBER(SEARCH("Group",H47)),IFERROR(I47*0.33,0),U48/60)</f>
        <v>0</v>
      </c>
      <c r="W48" s="14">
        <f t="shared" ref="W48" si="20">IFERROR(INDEX($P$2:$P$10,MATCH(J47,$Q$2:$Q$10,0)),0)</f>
        <v>0</v>
      </c>
      <c r="X48" s="14">
        <f>IF(ISNUMBER(SEARCH("Group",J47)),IFERROR(K47*0.33,0),W48/60)</f>
        <v>0</v>
      </c>
      <c r="Y48" s="14">
        <f t="shared" ref="Y48" si="21">IFERROR(INDEX($P$2:$P$10,MATCH(L47,$Q$2:$Q$10,0)),0)</f>
        <v>0</v>
      </c>
      <c r="Z48" s="14">
        <f>IF(ISNUMBER(SEARCH("Group",L47)),IFERROR(M47*0.33,0),Y48/60)</f>
        <v>0</v>
      </c>
      <c r="AA48" s="14">
        <f t="shared" ref="AA48" si="22">IFERROR(INDEX($P$2:$P$10,MATCH(N47,$Q$2:$Q$10,0)),0)</f>
        <v>0</v>
      </c>
      <c r="AB48" s="14">
        <f>IF(ISNUMBER(SEARCH("Group",N47)),IFERROR(O47*0.33,0),AA48/60)</f>
        <v>0</v>
      </c>
      <c r="AC48" s="14" t="b">
        <f t="shared" si="14"/>
        <v>0</v>
      </c>
      <c r="AD48" s="14" t="b">
        <f t="shared" si="15"/>
        <v>0</v>
      </c>
      <c r="AE48" s="14" t="b">
        <f t="shared" si="16"/>
        <v>0</v>
      </c>
      <c r="AF48" s="14" t="b">
        <f t="shared" si="17"/>
        <v>0</v>
      </c>
      <c r="AG48" s="14" t="b">
        <f t="shared" si="18"/>
        <v>0</v>
      </c>
      <c r="AH48" s="14"/>
      <c r="AI48" s="14"/>
      <c r="AJ48" s="14"/>
      <c r="AK48" s="14"/>
      <c r="AL48" s="14"/>
      <c r="AM48" s="14"/>
    </row>
    <row r="49" spans="1:39" ht="20.100000000000001" customHeight="1" thickTop="1" thickBot="1" x14ac:dyDescent="0.3">
      <c r="A49" s="14"/>
      <c r="B49" s="14"/>
      <c r="C49" s="14"/>
      <c r="D49" s="14"/>
      <c r="E49" s="63" t="s">
        <v>110</v>
      </c>
      <c r="F49" s="72">
        <v>5</v>
      </c>
      <c r="G49" s="69"/>
      <c r="H49" s="78">
        <v>5</v>
      </c>
      <c r="I49" s="69"/>
      <c r="J49" s="78">
        <v>5</v>
      </c>
      <c r="K49" s="69"/>
      <c r="L49" s="78">
        <v>5</v>
      </c>
      <c r="M49" s="69"/>
      <c r="N49" s="78">
        <v>5</v>
      </c>
      <c r="O49" s="40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:39" ht="20.100000000000001" customHeight="1" thickTop="1" x14ac:dyDescent="0.25">
      <c r="A50" s="126" t="s">
        <v>193</v>
      </c>
      <c r="B50" s="127"/>
      <c r="C50" s="128"/>
      <c r="D50" s="14"/>
      <c r="E50" s="64" t="s">
        <v>109</v>
      </c>
      <c r="F50" s="73" cm="1">
        <f t="array" ref="F50">SUMPRODUCT((F3:F47&lt;&gt;"")*IF(F3:F47="Group (min 2, max 8 x .33)",0.33*G3:G47,IFERROR(INDEX($AX$26:$AX$33,MATCH(F3:F47,$AW$26:$AW$33,0)),0)))</f>
        <v>0</v>
      </c>
      <c r="G50" s="70"/>
      <c r="H50" s="79" cm="1">
        <f t="array" ref="H50">SUMPRODUCT((H3:H47&lt;&gt;"")*IF(H3:H47="Group (min 2, max 8 x .33)",0.33*I3:I47,IFERROR(INDEX($AX$26:$AX$33,MATCH(H3:H47,$AW$26:$AW$33,0)),0)))</f>
        <v>0</v>
      </c>
      <c r="I50" s="70"/>
      <c r="J50" s="79" cm="1">
        <f t="array" ref="J50">SUMPRODUCT((J3:J47&lt;&gt;"")*IF(J3:J47="Group (min 2, max 8 x .33)",0.33*K3:K47,IFERROR(INDEX($AX$26:$AX$33,MATCH(J3:J47,$AW$26:$AW$33,0)),0)))</f>
        <v>0</v>
      </c>
      <c r="K50" s="70"/>
      <c r="L50" s="79" cm="1">
        <f t="array" ref="L50">SUMPRODUCT((L3:L47&lt;&gt;"")*IF(L3:L47="Group (min 2, max 8 x .33)",0.33*M3:M47,IFERROR(INDEX($AX$26:$AX$33,MATCH(L3:L47,$AW$26:$AW$33,0)),0)))</f>
        <v>0</v>
      </c>
      <c r="M50" s="70"/>
      <c r="N50" s="79" cm="1">
        <f t="array" ref="N50">SUMPRODUCT((N3:N47&lt;&gt;"")*IF(N3:N47="Group (min 2, max 8 x .33)",0.33*O3:O47,IFERROR(INDEX($AX$26:$AX$33,MATCH(N3:N47,$AW$26:$AW$33,0)),0)))</f>
        <v>0</v>
      </c>
      <c r="O50" s="41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:39" ht="20.100000000000001" customHeight="1" x14ac:dyDescent="0.25">
      <c r="A51" s="160" t="str" cm="1">
        <f t="array" aca="1" ref="A51" ca="1">INDEX($AU$2:$AU$31,MOD(TODAY(),30)+1)</f>
        <v>Why do therapists make great DJs? They know how to read the room! 🎧</v>
      </c>
      <c r="B51" s="161"/>
      <c r="C51" s="162"/>
      <c r="D51" s="14"/>
      <c r="E51" s="65" t="s">
        <v>111</v>
      </c>
      <c r="F51" s="74">
        <f>F50-F49</f>
        <v>-5</v>
      </c>
      <c r="G51" s="70"/>
      <c r="H51" s="80">
        <f>H50-H49</f>
        <v>-5</v>
      </c>
      <c r="I51" s="70"/>
      <c r="J51" s="80">
        <f>J50-J49</f>
        <v>-5</v>
      </c>
      <c r="K51" s="70"/>
      <c r="L51" s="80">
        <f>L50-L49</f>
        <v>-5</v>
      </c>
      <c r="M51" s="70"/>
      <c r="N51" s="80">
        <f>N50-N49</f>
        <v>-5</v>
      </c>
      <c r="O51" s="41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39" ht="20.100000000000001" customHeight="1" x14ac:dyDescent="0.25">
      <c r="A52" s="160"/>
      <c r="B52" s="161"/>
      <c r="C52" s="162"/>
      <c r="D52" s="14"/>
      <c r="E52" s="65" t="s">
        <v>218</v>
      </c>
      <c r="F52" s="75">
        <f>COUNTA(F3:F47)</f>
        <v>0</v>
      </c>
      <c r="G52" s="70"/>
      <c r="H52" s="81">
        <f>COUNTA(H3:H47)</f>
        <v>0</v>
      </c>
      <c r="I52" s="70"/>
      <c r="J52" s="81">
        <f>COUNTA(J3:J47)</f>
        <v>0</v>
      </c>
      <c r="K52" s="70"/>
      <c r="L52" s="81">
        <f>COUNTA(L3:L47)</f>
        <v>0</v>
      </c>
      <c r="M52" s="70"/>
      <c r="N52" s="81">
        <f>COUNTA(N3:N47)</f>
        <v>0</v>
      </c>
      <c r="O52" s="41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39" ht="20.100000000000001" customHeight="1" x14ac:dyDescent="0.25">
      <c r="A53" s="160"/>
      <c r="B53" s="161"/>
      <c r="C53" s="162"/>
      <c r="D53" s="14"/>
      <c r="E53" s="66" t="s">
        <v>219</v>
      </c>
      <c r="F53" s="76">
        <f>COUNTIF(F3:F47,$Q$8)*30+COUNTIF(F3:F47,$Q$9)*60</f>
        <v>0</v>
      </c>
      <c r="G53" s="70"/>
      <c r="H53" s="82">
        <f>COUNTIF(H3:H47,$Q$8)*30+COUNTIF(H3:H47,$Q$9)*60</f>
        <v>0</v>
      </c>
      <c r="I53" s="70"/>
      <c r="J53" s="82">
        <f>COUNTIF(J3:J47,$Q$8)*30+COUNTIF(J3:J47,$Q$9)*60</f>
        <v>0</v>
      </c>
      <c r="K53" s="70"/>
      <c r="L53" s="82">
        <f>COUNTIF(L3:L47,$Q$8)*30+COUNTIF(L3:L47,$Q$9)*60</f>
        <v>0</v>
      </c>
      <c r="M53" s="70"/>
      <c r="N53" s="82">
        <f>COUNTIF(N3:N47,$Q$8)*30+COUNTIF(N3:N47,$Q$9)*60</f>
        <v>0</v>
      </c>
      <c r="O53" s="41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:39" ht="20.100000000000001" customHeight="1" thickBot="1" x14ac:dyDescent="0.3">
      <c r="A54" s="163"/>
      <c r="B54" s="164"/>
      <c r="C54" s="165"/>
      <c r="D54" s="14"/>
      <c r="E54" s="67" t="s">
        <v>220</v>
      </c>
      <c r="F54" s="77">
        <f>SUM(S3:S47)/480</f>
        <v>0</v>
      </c>
      <c r="G54" s="71"/>
      <c r="H54" s="83">
        <f>SUM(U3:U47)/480</f>
        <v>0</v>
      </c>
      <c r="I54" s="71"/>
      <c r="J54" s="83">
        <f>SUM(W3:W47)/480</f>
        <v>0</v>
      </c>
      <c r="K54" s="71"/>
      <c r="L54" s="83">
        <f>SUM(Y3:Y47)/480</f>
        <v>0</v>
      </c>
      <c r="M54" s="71"/>
      <c r="N54" s="83">
        <f>SUM(AA3:AA47)/480</f>
        <v>0</v>
      </c>
      <c r="O54" s="68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39" ht="20.100000000000001" customHeight="1" thickTop="1" x14ac:dyDescent="0.25">
      <c r="A55" s="14"/>
      <c r="B55" s="14"/>
      <c r="C55" s="14"/>
      <c r="D55" s="14"/>
      <c r="E55" s="59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1:39" ht="20.100000000000001" customHeight="1" x14ac:dyDescent="0.25">
      <c r="A56" s="14"/>
      <c r="B56" s="14"/>
      <c r="C56" s="14"/>
      <c r="D56" s="14"/>
      <c r="E56" s="59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</row>
    <row r="57" spans="1:39" ht="20.100000000000001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 spans="1:39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 spans="1:39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 spans="1:39" s="3" customFormat="1" x14ac:dyDescent="0.25"/>
    <row r="61" spans="1:39" s="3" customFormat="1" x14ac:dyDescent="0.25"/>
    <row r="62" spans="1:39" s="3" customFormat="1" x14ac:dyDescent="0.25"/>
    <row r="63" spans="1:39" s="3" customFormat="1" x14ac:dyDescent="0.25"/>
    <row r="64" spans="1:39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pans="1:101" s="3" customFormat="1" x14ac:dyDescent="0.25"/>
    <row r="738" spans="1:101" s="3" customFormat="1" x14ac:dyDescent="0.25"/>
    <row r="739" spans="1:101" s="3" customFormat="1" x14ac:dyDescent="0.25"/>
    <row r="740" spans="1:101" s="2" customFormat="1" x14ac:dyDescent="0.25"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</row>
    <row r="741" spans="1:101" s="2" customFormat="1" x14ac:dyDescent="0.25"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</row>
    <row r="742" spans="1:101" s="2" customFormat="1" x14ac:dyDescent="0.25"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</row>
    <row r="743" spans="1:101" s="2" customFormat="1" x14ac:dyDescent="0.25"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</row>
    <row r="744" spans="1:101" s="2" customFormat="1" x14ac:dyDescent="0.25"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</row>
    <row r="745" spans="1:101" s="2" customFormat="1" x14ac:dyDescent="0.25"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</row>
    <row r="746" spans="1:101" s="2" customFormat="1" x14ac:dyDescent="0.25"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</row>
    <row r="747" spans="1:101" s="2" customFormat="1" x14ac:dyDescent="0.25"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</row>
    <row r="748" spans="1:101" s="2" customFormat="1" x14ac:dyDescent="0.25">
      <c r="A748"/>
      <c r="B748"/>
      <c r="C748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</row>
  </sheetData>
  <mergeCells count="25">
    <mergeCell ref="A50:C50"/>
    <mergeCell ref="A51:C54"/>
    <mergeCell ref="A9:C9"/>
    <mergeCell ref="A10:C10"/>
    <mergeCell ref="A11:C11"/>
    <mergeCell ref="A41:C41"/>
    <mergeCell ref="A45:C45"/>
    <mergeCell ref="A44:C44"/>
    <mergeCell ref="A43:C43"/>
    <mergeCell ref="E1:O1"/>
    <mergeCell ref="A2:C2"/>
    <mergeCell ref="A7:C7"/>
    <mergeCell ref="A1:C1"/>
    <mergeCell ref="A4:C4"/>
    <mergeCell ref="A5:C5"/>
    <mergeCell ref="A6:C6"/>
    <mergeCell ref="A8:C8"/>
    <mergeCell ref="A19:C19"/>
    <mergeCell ref="A29:C29"/>
    <mergeCell ref="A35:C35"/>
    <mergeCell ref="A13:C13"/>
    <mergeCell ref="B14:C14"/>
    <mergeCell ref="B15:C15"/>
    <mergeCell ref="B16:C16"/>
    <mergeCell ref="B17:C17"/>
  </mergeCells>
  <conditionalFormatting sqref="C26:C27">
    <cfRule type="expression" dxfId="45" priority="30">
      <formula>C26&gt;=B26</formula>
    </cfRule>
    <cfRule type="expression" dxfId="44" priority="31">
      <formula>C26&lt;(B26*0.9)</formula>
    </cfRule>
  </conditionalFormatting>
  <conditionalFormatting sqref="C33">
    <cfRule type="expression" dxfId="43" priority="1">
      <formula>C33&gt;=B33</formula>
    </cfRule>
    <cfRule type="expression" dxfId="42" priority="2">
      <formula>C33&lt;(B33*0.9)</formula>
    </cfRule>
  </conditionalFormatting>
  <conditionalFormatting sqref="C37">
    <cfRule type="expression" dxfId="41" priority="3">
      <formula>AND(ISNUMBER(C37),C37&lt;TODAY())</formula>
    </cfRule>
    <cfRule type="expression" dxfId="40" priority="4">
      <formula>AND(ISNUMBER(C37),C37&gt;=TODAY(),C37&lt;=TODAY()+30)</formula>
    </cfRule>
  </conditionalFormatting>
  <conditionalFormatting sqref="F50">
    <cfRule type="expression" dxfId="39" priority="25">
      <formula>F50&lt;F51</formula>
    </cfRule>
  </conditionalFormatting>
  <conditionalFormatting sqref="F51">
    <cfRule type="cellIs" dxfId="38" priority="33" operator="greaterThan">
      <formula>0</formula>
    </cfRule>
  </conditionalFormatting>
  <conditionalFormatting sqref="F51:F52">
    <cfRule type="cellIs" dxfId="37" priority="15" operator="lessThan">
      <formula>0</formula>
    </cfRule>
  </conditionalFormatting>
  <conditionalFormatting sqref="F52">
    <cfRule type="cellIs" dxfId="36" priority="16" operator="equal">
      <formula>0</formula>
    </cfRule>
  </conditionalFormatting>
  <conditionalFormatting sqref="F54">
    <cfRule type="cellIs" dxfId="35" priority="42" operator="greaterThanOrEqual">
      <formula>0.7</formula>
    </cfRule>
  </conditionalFormatting>
  <conditionalFormatting sqref="F3:G47">
    <cfRule type="expression" dxfId="34" priority="5">
      <formula>$AC4=TRUE</formula>
    </cfRule>
    <cfRule type="expression" dxfId="33" priority="6">
      <formula>AND($AC4=TRUE,F3&lt;&gt;"")</formula>
    </cfRule>
  </conditionalFormatting>
  <conditionalFormatting sqref="H50">
    <cfRule type="expression" dxfId="32" priority="26">
      <formula>H50&lt;H51</formula>
    </cfRule>
  </conditionalFormatting>
  <conditionalFormatting sqref="H51">
    <cfRule type="cellIs" dxfId="31" priority="35" operator="greaterThan">
      <formula>0</formula>
    </cfRule>
  </conditionalFormatting>
  <conditionalFormatting sqref="H51:H52">
    <cfRule type="cellIs" dxfId="30" priority="17" operator="lessThan">
      <formula>0</formula>
    </cfRule>
  </conditionalFormatting>
  <conditionalFormatting sqref="H52">
    <cfRule type="cellIs" dxfId="29" priority="18" operator="equal">
      <formula>0</formula>
    </cfRule>
  </conditionalFormatting>
  <conditionalFormatting sqref="H54">
    <cfRule type="cellIs" dxfId="28" priority="43" operator="greaterThanOrEqual">
      <formula>0.7</formula>
    </cfRule>
  </conditionalFormatting>
  <conditionalFormatting sqref="H3:I47">
    <cfRule type="expression" dxfId="27" priority="7">
      <formula>$AD4=TRUE</formula>
    </cfRule>
    <cfRule type="expression" dxfId="26" priority="8">
      <formula>AND($AD4=TRUE,H3&lt;&gt;"")</formula>
    </cfRule>
  </conditionalFormatting>
  <conditionalFormatting sqref="J50">
    <cfRule type="expression" dxfId="25" priority="27">
      <formula>J50&lt;J51</formula>
    </cfRule>
  </conditionalFormatting>
  <conditionalFormatting sqref="J51">
    <cfRule type="cellIs" dxfId="24" priority="37" operator="greaterThan">
      <formula>0</formula>
    </cfRule>
  </conditionalFormatting>
  <conditionalFormatting sqref="J51:J52">
    <cfRule type="cellIs" dxfId="23" priority="19" operator="lessThan">
      <formula>0</formula>
    </cfRule>
  </conditionalFormatting>
  <conditionalFormatting sqref="J52">
    <cfRule type="cellIs" dxfId="22" priority="20" operator="equal">
      <formula>0</formula>
    </cfRule>
  </conditionalFormatting>
  <conditionalFormatting sqref="J54">
    <cfRule type="cellIs" dxfId="21" priority="44" operator="greaterThanOrEqual">
      <formula>0.7</formula>
    </cfRule>
  </conditionalFormatting>
  <conditionalFormatting sqref="J3:K47">
    <cfRule type="expression" dxfId="20" priority="9">
      <formula>$AE4=TRUE</formula>
    </cfRule>
    <cfRule type="expression" dxfId="19" priority="10">
      <formula>AND($AE4=TRUE,J3&lt;&gt;"")</formula>
    </cfRule>
  </conditionalFormatting>
  <conditionalFormatting sqref="L50">
    <cfRule type="expression" dxfId="18" priority="28">
      <formula>L50&lt;L51</formula>
    </cfRule>
  </conditionalFormatting>
  <conditionalFormatting sqref="L51">
    <cfRule type="cellIs" dxfId="17" priority="39" operator="greaterThan">
      <formula>0</formula>
    </cfRule>
  </conditionalFormatting>
  <conditionalFormatting sqref="L51:L52">
    <cfRule type="cellIs" dxfId="16" priority="21" operator="lessThan">
      <formula>0</formula>
    </cfRule>
  </conditionalFormatting>
  <conditionalFormatting sqref="L52">
    <cfRule type="cellIs" dxfId="15" priority="22" operator="equal">
      <formula>0</formula>
    </cfRule>
  </conditionalFormatting>
  <conditionalFormatting sqref="L54">
    <cfRule type="cellIs" dxfId="14" priority="45" operator="greaterThanOrEqual">
      <formula>0.7</formula>
    </cfRule>
  </conditionalFormatting>
  <conditionalFormatting sqref="L3:M47">
    <cfRule type="expression" dxfId="13" priority="12">
      <formula>AND($AF4=TRUE,L3&lt;&gt;"")</formula>
    </cfRule>
    <cfRule type="expression" dxfId="12" priority="11">
      <formula>$AF4=TRUE</formula>
    </cfRule>
  </conditionalFormatting>
  <conditionalFormatting sqref="N50">
    <cfRule type="expression" dxfId="11" priority="29">
      <formula>N50&lt;N51</formula>
    </cfRule>
  </conditionalFormatting>
  <conditionalFormatting sqref="N51">
    <cfRule type="cellIs" dxfId="10" priority="41" operator="greaterThan">
      <formula>0</formula>
    </cfRule>
  </conditionalFormatting>
  <conditionalFormatting sqref="N51:N52">
    <cfRule type="cellIs" dxfId="9" priority="23" operator="lessThan">
      <formula>0</formula>
    </cfRule>
  </conditionalFormatting>
  <conditionalFormatting sqref="N52">
    <cfRule type="cellIs" dxfId="8" priority="24" operator="equal">
      <formula>0</formula>
    </cfRule>
  </conditionalFormatting>
  <conditionalFormatting sqref="N54">
    <cfRule type="cellIs" dxfId="7" priority="46" operator="greaterThanOrEqual">
      <formula>0.7</formula>
    </cfRule>
  </conditionalFormatting>
  <conditionalFormatting sqref="N3:O47">
    <cfRule type="expression" dxfId="6" priority="14">
      <formula>AND($AG4=TRUE,N3&lt;&gt;"")</formula>
    </cfRule>
    <cfRule type="expression" dxfId="5" priority="13">
      <formula>$AG4=TRUE</formula>
    </cfRule>
  </conditionalFormatting>
  <dataValidations count="2">
    <dataValidation type="list" allowBlank="1" showInputMessage="1" showErrorMessage="1" sqref="L3:L47 F3:F47 H3:H47 J3:J47 N3:N47" xr:uid="{27A348B8-AF5B-E845-83A5-FA4251E411DD}">
      <formula1>$Q$2:$Q$11</formula1>
    </dataValidation>
    <dataValidation type="list" allowBlank="1" showInputMessage="1" showErrorMessage="1" prompt="Select a month to see school days out" sqref="B14" xr:uid="{75C736B5-2C6E-4443-BE29-7C4F2A57029F}">
      <formula1>$AQ$1:$AQ$10</formula1>
    </dataValidation>
  </dataValidation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3F5DC341-C758-B945-98AF-849AAFFFC092}">
          <x14:formula1>
            <xm:f>'Client data'!$A$3:$A$11</xm:f>
          </x14:formula1>
          <xm:sqref>G3:G47 I3:I47 K3:K47 M3:M47 O3:O47</xm:sqref>
        </x14:dataValidation>
        <x14:dataValidation type="list" allowBlank="1" showInputMessage="1" showErrorMessage="1" xr:uid="{A5AE1FDE-5C44-BE41-857B-744CFADA9516}">
          <x14:formula1>
            <xm:f>'Client data'!$A$3:$A$55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E564-02D0-5444-9DA6-F2AE9963D8FC}">
  <dimension ref="A1:AM499"/>
  <sheetViews>
    <sheetView workbookViewId="0">
      <selection activeCell="A2" sqref="A1:A1048576"/>
    </sheetView>
  </sheetViews>
  <sheetFormatPr defaultColWidth="11.42578125" defaultRowHeight="15" x14ac:dyDescent="0.25"/>
  <cols>
    <col min="1" max="1" width="25.140625" style="1" customWidth="1"/>
    <col min="2" max="3" width="19.28515625" style="1" customWidth="1"/>
    <col min="4" max="4" width="23" style="1" customWidth="1"/>
    <col min="5" max="5" width="47.42578125" style="1" customWidth="1"/>
    <col min="6" max="6" width="2.7109375" style="1" customWidth="1"/>
    <col min="7" max="19" width="11.42578125" style="1"/>
    <col min="20" max="21" width="21" style="1" customWidth="1"/>
    <col min="22" max="22" width="35.28515625" style="1" customWidth="1"/>
    <col min="23" max="23" width="27.140625" style="1" customWidth="1"/>
    <col min="24" max="16384" width="11.42578125" style="1"/>
  </cols>
  <sheetData>
    <row r="1" spans="1:39" ht="24.95" customHeight="1" x14ac:dyDescent="0.25">
      <c r="A1" s="152" t="s">
        <v>51</v>
      </c>
      <c r="B1" s="153"/>
      <c r="C1" s="153"/>
      <c r="D1" s="153"/>
      <c r="E1" s="15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ht="24.95" customHeight="1" x14ac:dyDescent="0.25">
      <c r="A2" s="46" t="s">
        <v>52</v>
      </c>
      <c r="B2" s="30" t="s">
        <v>29</v>
      </c>
      <c r="C2" s="31" t="s">
        <v>30</v>
      </c>
      <c r="D2" s="30" t="s">
        <v>53</v>
      </c>
      <c r="E2" s="47" t="s">
        <v>54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ht="15.75" x14ac:dyDescent="0.25">
      <c r="A3" s="48" t="s">
        <v>82</v>
      </c>
      <c r="B3" s="49">
        <v>46146</v>
      </c>
      <c r="C3" s="49" t="s">
        <v>56</v>
      </c>
      <c r="D3" s="50" t="s">
        <v>60</v>
      </c>
      <c r="E3" s="5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32" t="s">
        <v>55</v>
      </c>
      <c r="U3" s="32" t="s">
        <v>55</v>
      </c>
      <c r="V3" s="32" t="s">
        <v>55</v>
      </c>
      <c r="W3" s="32" t="s">
        <v>55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ht="15.75" x14ac:dyDescent="0.25">
      <c r="A4" s="48" t="s">
        <v>83</v>
      </c>
      <c r="B4" s="49">
        <v>46223</v>
      </c>
      <c r="C4" s="49">
        <v>46212</v>
      </c>
      <c r="D4" s="50" t="s">
        <v>64</v>
      </c>
      <c r="E4" s="5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33" t="s">
        <v>57</v>
      </c>
      <c r="U4" s="33" t="s">
        <v>58</v>
      </c>
      <c r="V4" s="33" t="s">
        <v>61</v>
      </c>
      <c r="W4" s="33" t="s">
        <v>60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ht="15.75" x14ac:dyDescent="0.25">
      <c r="A5" s="48" t="s">
        <v>84</v>
      </c>
      <c r="B5" s="49">
        <v>45796</v>
      </c>
      <c r="C5" s="49" t="s">
        <v>56</v>
      </c>
      <c r="D5" s="50" t="s">
        <v>60</v>
      </c>
      <c r="E5" s="51" t="s">
        <v>212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33" t="s">
        <v>65</v>
      </c>
      <c r="U5" s="33" t="s">
        <v>66</v>
      </c>
      <c r="V5" s="33" t="s">
        <v>67</v>
      </c>
      <c r="W5" s="33" t="s">
        <v>64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ht="15.75" x14ac:dyDescent="0.25">
      <c r="A6" s="48" t="s">
        <v>85</v>
      </c>
      <c r="B6" s="49">
        <v>46166</v>
      </c>
      <c r="C6" s="49" t="s">
        <v>56</v>
      </c>
      <c r="D6" s="50" t="s">
        <v>68</v>
      </c>
      <c r="E6" s="5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33" t="s">
        <v>62</v>
      </c>
      <c r="U6" s="33" t="s">
        <v>63</v>
      </c>
      <c r="V6" s="33" t="s">
        <v>59</v>
      </c>
      <c r="W6" s="33" t="s">
        <v>68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ht="15.75" x14ac:dyDescent="0.25">
      <c r="A7" s="48" t="s">
        <v>86</v>
      </c>
      <c r="B7" s="49">
        <v>46207</v>
      </c>
      <c r="C7" s="49" t="s">
        <v>73</v>
      </c>
      <c r="D7" s="50" t="s">
        <v>68</v>
      </c>
      <c r="E7" s="51" t="s">
        <v>213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33" t="s">
        <v>69</v>
      </c>
      <c r="U7" s="33" t="s">
        <v>70</v>
      </c>
      <c r="V7" s="33" t="s">
        <v>71</v>
      </c>
      <c r="W7" s="33" t="s">
        <v>72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ht="15.75" x14ac:dyDescent="0.25">
      <c r="A8" s="48" t="s">
        <v>87</v>
      </c>
      <c r="B8" s="49">
        <v>46189</v>
      </c>
      <c r="C8" s="49">
        <v>45178</v>
      </c>
      <c r="D8" s="50" t="s">
        <v>80</v>
      </c>
      <c r="E8" s="51" t="s">
        <v>214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33"/>
      <c r="U8" s="33" t="s">
        <v>74</v>
      </c>
      <c r="V8" s="33" t="s">
        <v>75</v>
      </c>
      <c r="W8" s="33" t="s">
        <v>76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ht="15.75" x14ac:dyDescent="0.25">
      <c r="A9" s="48" t="s">
        <v>88</v>
      </c>
      <c r="B9" s="49">
        <v>46154</v>
      </c>
      <c r="C9" s="49" t="s">
        <v>79</v>
      </c>
      <c r="D9" s="50" t="s">
        <v>60</v>
      </c>
      <c r="E9" s="5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33"/>
      <c r="U9" s="33" t="s">
        <v>77</v>
      </c>
      <c r="V9" s="33"/>
      <c r="W9" s="33" t="s">
        <v>78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 ht="15.75" x14ac:dyDescent="0.25">
      <c r="A10" s="48" t="s">
        <v>89</v>
      </c>
      <c r="B10" s="49">
        <v>46292</v>
      </c>
      <c r="C10" s="49" t="s">
        <v>56</v>
      </c>
      <c r="D10" s="50" t="s">
        <v>60</v>
      </c>
      <c r="E10" s="5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33" t="s">
        <v>80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16.5" thickBot="1" x14ac:dyDescent="0.3">
      <c r="A11" s="53" t="s">
        <v>90</v>
      </c>
      <c r="B11" s="54">
        <v>46316</v>
      </c>
      <c r="C11" s="54" t="s">
        <v>56</v>
      </c>
      <c r="D11" s="55" t="s">
        <v>64</v>
      </c>
      <c r="E11" s="5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33" t="s">
        <v>81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 x14ac:dyDescent="0.2">
      <c r="A12" s="11"/>
      <c r="B12" s="11"/>
      <c r="C12" s="11"/>
      <c r="D12" s="11"/>
      <c r="E12" s="1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x14ac:dyDescent="0.2">
      <c r="A13" s="11"/>
      <c r="B13" s="11"/>
      <c r="C13" s="11"/>
      <c r="D13" s="11"/>
      <c r="E13" s="1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 x14ac:dyDescent="0.2">
      <c r="A14" s="11"/>
      <c r="B14" s="11"/>
      <c r="C14" s="11"/>
      <c r="D14" s="11"/>
      <c r="E14" s="1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 x14ac:dyDescent="0.2">
      <c r="A15" s="11"/>
      <c r="B15" s="11"/>
      <c r="C15" s="11"/>
      <c r="D15" s="12"/>
      <c r="E15" s="1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x14ac:dyDescent="0.2">
      <c r="A16" s="11"/>
      <c r="B16" s="11"/>
      <c r="C16" s="11"/>
      <c r="D16" s="11"/>
      <c r="E16" s="1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x14ac:dyDescent="0.25">
      <c r="A17" s="11"/>
      <c r="B17" s="11"/>
      <c r="C17" s="11"/>
      <c r="D17" s="11"/>
      <c r="E17" s="11"/>
      <c r="F17" s="4"/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x14ac:dyDescent="0.2">
      <c r="A18" s="11"/>
      <c r="B18" s="11"/>
      <c r="C18" s="11"/>
      <c r="D18" s="11"/>
      <c r="E18" s="1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x14ac:dyDescent="0.2">
      <c r="B19" s="11"/>
      <c r="C19" s="11"/>
      <c r="D19" s="11"/>
      <c r="E19" s="1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x14ac:dyDescent="0.2">
      <c r="A20" s="11"/>
      <c r="B20" s="11"/>
      <c r="C20" s="11"/>
      <c r="D20" s="11"/>
      <c r="E20" s="1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x14ac:dyDescent="0.2">
      <c r="A21" s="11"/>
      <c r="B21" s="11"/>
      <c r="C21" s="11"/>
      <c r="D21" s="11"/>
      <c r="E21" s="1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x14ac:dyDescent="0.2">
      <c r="A22" s="11"/>
      <c r="B22" s="11"/>
      <c r="C22" s="11"/>
      <c r="D22" s="11"/>
      <c r="E22" s="1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 x14ac:dyDescent="0.2">
      <c r="A23" s="11"/>
      <c r="B23" s="11"/>
      <c r="C23" s="11"/>
      <c r="D23" s="11"/>
      <c r="E23" s="1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 x14ac:dyDescent="0.2">
      <c r="A24" s="11"/>
      <c r="B24" s="11"/>
      <c r="C24" s="11"/>
      <c r="D24" s="11"/>
      <c r="E24" s="1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 x14ac:dyDescent="0.2">
      <c r="A25" s="11"/>
      <c r="B25" s="11"/>
      <c r="C25" s="11"/>
      <c r="D25" s="11"/>
      <c r="E25" s="1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 x14ac:dyDescent="0.2">
      <c r="A26" s="11"/>
      <c r="B26" s="11"/>
      <c r="C26" s="11"/>
      <c r="D26" s="11"/>
      <c r="E26" s="1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x14ac:dyDescent="0.2">
      <c r="A27" s="11"/>
      <c r="B27" s="11"/>
      <c r="C27" s="11"/>
      <c r="D27" s="11"/>
      <c r="E27" s="1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x14ac:dyDescent="0.2">
      <c r="A28" s="11"/>
      <c r="B28" s="11"/>
      <c r="C28" s="11"/>
      <c r="D28" s="11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x14ac:dyDescent="0.2">
      <c r="A29" s="11"/>
      <c r="B29" s="11"/>
      <c r="C29" s="11"/>
      <c r="D29" s="11"/>
      <c r="E29" s="1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x14ac:dyDescent="0.2">
      <c r="A30" s="11"/>
      <c r="B30" s="11"/>
      <c r="C30" s="11"/>
      <c r="D30" s="11"/>
      <c r="E30" s="1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x14ac:dyDescent="0.2">
      <c r="A31" s="11"/>
      <c r="B31" s="11"/>
      <c r="C31" s="11"/>
      <c r="D31" s="11"/>
      <c r="E31" s="1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x14ac:dyDescent="0.2">
      <c r="A32" s="11"/>
      <c r="B32" s="11"/>
      <c r="C32" s="11"/>
      <c r="D32" s="11"/>
      <c r="E32" s="1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x14ac:dyDescent="0.2">
      <c r="A33" s="11"/>
      <c r="B33" s="11"/>
      <c r="C33" s="11"/>
      <c r="D33" s="11"/>
      <c r="E33" s="1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x14ac:dyDescent="0.2">
      <c r="A34" s="11"/>
      <c r="B34" s="11"/>
      <c r="C34" s="11"/>
      <c r="D34" s="11"/>
      <c r="E34" s="1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x14ac:dyDescent="0.2">
      <c r="A35" s="11"/>
      <c r="B35" s="11"/>
      <c r="C35" s="11"/>
      <c r="D35" s="11"/>
      <c r="E35" s="1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x14ac:dyDescent="0.2">
      <c r="A36" s="11"/>
      <c r="B36" s="11"/>
      <c r="C36" s="11"/>
      <c r="D36" s="11"/>
      <c r="E36" s="1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x14ac:dyDescent="0.2">
      <c r="A37" s="11"/>
      <c r="B37" s="11"/>
      <c r="C37" s="11"/>
      <c r="D37" s="11"/>
      <c r="E37" s="1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x14ac:dyDescent="0.25">
      <c r="A38" s="13"/>
      <c r="B38" s="13"/>
      <c r="C38" s="13"/>
      <c r="D38" s="13"/>
      <c r="E38" s="1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x14ac:dyDescent="0.25">
      <c r="A39" s="13"/>
      <c r="B39" s="13"/>
      <c r="C39" s="13"/>
      <c r="D39" s="13"/>
      <c r="E39" s="1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x14ac:dyDescent="0.25">
      <c r="A40" s="13"/>
      <c r="B40" s="13"/>
      <c r="C40" s="13"/>
      <c r="D40" s="13"/>
      <c r="E40" s="1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x14ac:dyDescent="0.25">
      <c r="A41" s="13"/>
      <c r="B41" s="13"/>
      <c r="C41" s="13"/>
      <c r="D41" s="13"/>
      <c r="E41" s="1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 x14ac:dyDescent="0.25">
      <c r="A42" s="13"/>
      <c r="B42" s="13"/>
      <c r="C42" s="13"/>
      <c r="D42" s="13"/>
      <c r="E42" s="1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 x14ac:dyDescent="0.25">
      <c r="A43" s="13"/>
      <c r="B43" s="13"/>
      <c r="C43" s="13"/>
      <c r="D43" s="13"/>
      <c r="E43" s="1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1:39" x14ac:dyDescent="0.25">
      <c r="A44" s="13"/>
      <c r="B44" s="13"/>
      <c r="C44" s="13"/>
      <c r="D44" s="13"/>
      <c r="E44" s="1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1:39" x14ac:dyDescent="0.25">
      <c r="A45" s="13"/>
      <c r="B45" s="13"/>
      <c r="C45" s="13"/>
      <c r="D45" s="13"/>
      <c r="E45" s="1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1:39" x14ac:dyDescent="0.25">
      <c r="A46" s="13"/>
      <c r="B46" s="13"/>
      <c r="C46" s="13"/>
      <c r="D46" s="13"/>
      <c r="E46" s="1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1:39" x14ac:dyDescent="0.25">
      <c r="A47" s="13"/>
      <c r="B47" s="13"/>
      <c r="C47" s="13"/>
      <c r="D47" s="13"/>
      <c r="E47" s="1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1:39" x14ac:dyDescent="0.25">
      <c r="A48" s="13"/>
      <c r="B48" s="13"/>
      <c r="C48" s="13"/>
      <c r="D48" s="13"/>
      <c r="E48" s="1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1:39" x14ac:dyDescent="0.25">
      <c r="A49" s="5"/>
      <c r="B49" s="5"/>
      <c r="C49" s="5"/>
      <c r="D49" s="5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1:39" x14ac:dyDescent="0.25">
      <c r="A50" s="5"/>
      <c r="B50" s="5"/>
      <c r="C50" s="5"/>
      <c r="D50" s="5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1:39" x14ac:dyDescent="0.25">
      <c r="A51" s="5"/>
      <c r="B51" s="5"/>
      <c r="C51" s="5"/>
      <c r="D51" s="5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1:39" x14ac:dyDescent="0.25">
      <c r="A52" s="5"/>
      <c r="B52" s="5"/>
      <c r="C52" s="5"/>
      <c r="D52" s="5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1:39" x14ac:dyDescent="0.25">
      <c r="A53" s="5"/>
      <c r="B53" s="5"/>
      <c r="C53" s="5"/>
      <c r="D53" s="5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1:39" x14ac:dyDescent="0.25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1:39" x14ac:dyDescent="0.25">
      <c r="A55" s="5"/>
      <c r="B55" s="5"/>
      <c r="C55" s="5"/>
      <c r="D55" s="5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x14ac:dyDescent="0.25">
      <c r="A56" s="5"/>
      <c r="B56" s="5"/>
      <c r="C56" s="5"/>
      <c r="D56" s="5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1:39" x14ac:dyDescent="0.25">
      <c r="A57" s="5"/>
      <c r="B57" s="5"/>
      <c r="C57" s="5"/>
      <c r="D57" s="5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pans="1:39" x14ac:dyDescent="0.25">
      <c r="A58" s="5"/>
      <c r="B58" s="5"/>
      <c r="C58" s="5"/>
      <c r="D58" s="5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pans="1:39" x14ac:dyDescent="0.25">
      <c r="A59" s="5"/>
      <c r="B59" s="5"/>
      <c r="C59" s="5"/>
      <c r="D59" s="5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spans="1:39" x14ac:dyDescent="0.25">
      <c r="A60" s="5"/>
      <c r="B60" s="5"/>
      <c r="C60" s="5"/>
      <c r="D60" s="5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spans="1:39" x14ac:dyDescent="0.25">
      <c r="A61" s="5"/>
      <c r="B61" s="5"/>
      <c r="C61" s="5"/>
      <c r="D61" s="5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spans="1:39" x14ac:dyDescent="0.25">
      <c r="A62" s="5"/>
      <c r="B62" s="5"/>
      <c r="C62" s="5"/>
      <c r="D62" s="5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spans="1:39" x14ac:dyDescent="0.25">
      <c r="A63" s="5"/>
      <c r="B63" s="5"/>
      <c r="C63" s="5"/>
      <c r="D63" s="5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spans="1:39" x14ac:dyDescent="0.25">
      <c r="A64" s="5"/>
      <c r="B64" s="5"/>
      <c r="C64" s="5"/>
      <c r="D64" s="5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39" x14ac:dyDescent="0.25">
      <c r="A65" s="5"/>
      <c r="B65" s="5"/>
      <c r="C65" s="5"/>
      <c r="D65" s="5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1:39" x14ac:dyDescent="0.25">
      <c r="A66" s="5"/>
      <c r="B66" s="5"/>
      <c r="C66" s="5"/>
      <c r="D66" s="5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spans="1:39" x14ac:dyDescent="0.25">
      <c r="A67" s="5"/>
      <c r="B67" s="5"/>
      <c r="C67" s="5"/>
      <c r="D67" s="5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1:39" x14ac:dyDescent="0.25">
      <c r="A68" s="5"/>
      <c r="B68" s="5"/>
      <c r="C68" s="5"/>
      <c r="D68" s="5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spans="1:39" x14ac:dyDescent="0.25">
      <c r="A69" s="5"/>
      <c r="B69" s="5"/>
      <c r="C69" s="5"/>
      <c r="D69" s="5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39" x14ac:dyDescent="0.25">
      <c r="A70" s="5"/>
      <c r="B70" s="5"/>
      <c r="C70" s="5"/>
      <c r="D70" s="5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spans="1:39" x14ac:dyDescent="0.25">
      <c r="A71" s="5"/>
      <c r="B71" s="5"/>
      <c r="C71" s="5"/>
      <c r="D71" s="5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pans="1:39" x14ac:dyDescent="0.25">
      <c r="A72" s="5"/>
      <c r="B72" s="5"/>
      <c r="C72" s="5"/>
      <c r="D72" s="5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spans="1:39" x14ac:dyDescent="0.25">
      <c r="A73" s="5"/>
      <c r="B73" s="5"/>
      <c r="C73" s="5"/>
      <c r="D73" s="5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1:39" x14ac:dyDescent="0.25">
      <c r="A74" s="5"/>
      <c r="B74" s="5"/>
      <c r="C74" s="5"/>
      <c r="D74" s="5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spans="1:39" x14ac:dyDescent="0.25">
      <c r="A75" s="5"/>
      <c r="B75" s="5"/>
      <c r="C75" s="5"/>
      <c r="D75" s="5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pans="1:39" x14ac:dyDescent="0.25">
      <c r="A76" s="5"/>
      <c r="B76" s="5"/>
      <c r="C76" s="5"/>
      <c r="D76" s="5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spans="1:39" x14ac:dyDescent="0.25">
      <c r="A77" s="5"/>
      <c r="B77" s="5"/>
      <c r="C77" s="5"/>
      <c r="D77" s="5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spans="1:39" x14ac:dyDescent="0.25">
      <c r="A78" s="5"/>
      <c r="B78" s="5"/>
      <c r="C78" s="5"/>
      <c r="D78" s="5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spans="1:39" x14ac:dyDescent="0.25">
      <c r="A79" s="5"/>
      <c r="B79" s="5"/>
      <c r="C79" s="5"/>
      <c r="D79" s="5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spans="1:39" x14ac:dyDescent="0.25">
      <c r="A80" s="5"/>
      <c r="B80" s="5"/>
      <c r="C80" s="5"/>
      <c r="D80" s="5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spans="1:39" x14ac:dyDescent="0.25">
      <c r="A81" s="5"/>
      <c r="B81" s="5"/>
      <c r="C81" s="5"/>
      <c r="D81" s="5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spans="1:39" x14ac:dyDescent="0.25">
      <c r="A82" s="5"/>
      <c r="B82" s="5"/>
      <c r="C82" s="5"/>
      <c r="D82" s="5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spans="1:39" x14ac:dyDescent="0.25">
      <c r="A83" s="5"/>
      <c r="B83" s="5"/>
      <c r="C83" s="5"/>
      <c r="D83" s="5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spans="1:39" x14ac:dyDescent="0.25">
      <c r="A84" s="5"/>
      <c r="B84" s="5"/>
      <c r="C84" s="5"/>
      <c r="D84" s="5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spans="1:39" x14ac:dyDescent="0.25">
      <c r="A85" s="5"/>
      <c r="B85" s="5"/>
      <c r="C85" s="5"/>
      <c r="D85" s="5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pans="1:39" x14ac:dyDescent="0.25">
      <c r="A86" s="5"/>
      <c r="B86" s="5"/>
      <c r="C86" s="5"/>
      <c r="D86" s="5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spans="1:39" x14ac:dyDescent="0.25">
      <c r="A87" s="5"/>
      <c r="B87" s="5"/>
      <c r="C87" s="5"/>
      <c r="D87" s="5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pans="1:39" x14ac:dyDescent="0.25">
      <c r="A88" s="5"/>
      <c r="B88" s="5"/>
      <c r="C88" s="5"/>
      <c r="D88" s="5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pans="1:39" x14ac:dyDescent="0.25">
      <c r="A89" s="5"/>
      <c r="B89" s="5"/>
      <c r="C89" s="5"/>
      <c r="D89" s="5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39" x14ac:dyDescent="0.25">
      <c r="A90" s="5"/>
      <c r="B90" s="5"/>
      <c r="C90" s="5"/>
      <c r="D90" s="5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spans="1:39" x14ac:dyDescent="0.25">
      <c r="A91" s="5"/>
      <c r="B91" s="5"/>
      <c r="C91" s="5"/>
      <c r="D91" s="5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spans="1:39" x14ac:dyDescent="0.25">
      <c r="A92" s="5"/>
      <c r="B92" s="5"/>
      <c r="C92" s="5"/>
      <c r="D92" s="5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spans="1:39" x14ac:dyDescent="0.25">
      <c r="A93" s="5"/>
      <c r="B93" s="5"/>
      <c r="C93" s="5"/>
      <c r="D93" s="5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pans="1:39" x14ac:dyDescent="0.25">
      <c r="A94" s="5"/>
      <c r="B94" s="5"/>
      <c r="C94" s="5"/>
      <c r="D94" s="5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spans="1:39" x14ac:dyDescent="0.25">
      <c r="A95" s="5"/>
      <c r="B95" s="5"/>
      <c r="C95" s="5"/>
      <c r="D95" s="5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1:39" x14ac:dyDescent="0.25">
      <c r="A96" s="5"/>
      <c r="B96" s="5"/>
      <c r="C96" s="5"/>
      <c r="D96" s="5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spans="1:39" x14ac:dyDescent="0.25">
      <c r="A97" s="5"/>
      <c r="B97" s="5"/>
      <c r="C97" s="5"/>
      <c r="D97" s="5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1:39" x14ac:dyDescent="0.25">
      <c r="A98" s="5"/>
      <c r="B98" s="5"/>
      <c r="C98" s="5"/>
      <c r="D98" s="5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spans="1:39" x14ac:dyDescent="0.25">
      <c r="A99" s="5"/>
      <c r="B99" s="5"/>
      <c r="C99" s="5"/>
      <c r="D99" s="5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1:39" x14ac:dyDescent="0.25">
      <c r="A100" s="5"/>
      <c r="B100" s="5"/>
      <c r="C100" s="5"/>
      <c r="D100" s="5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spans="1:39" x14ac:dyDescent="0.25">
      <c r="A101" s="5"/>
      <c r="B101" s="5"/>
      <c r="C101" s="5"/>
      <c r="D101" s="5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1:39" x14ac:dyDescent="0.25">
      <c r="A102" s="5"/>
      <c r="B102" s="5"/>
      <c r="C102" s="5"/>
      <c r="D102" s="5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1:39" x14ac:dyDescent="0.25">
      <c r="A103" s="5"/>
      <c r="B103" s="5"/>
      <c r="C103" s="5"/>
      <c r="D103" s="5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1:39" x14ac:dyDescent="0.25">
      <c r="A104" s="5"/>
      <c r="B104" s="5"/>
      <c r="C104" s="5"/>
      <c r="D104" s="5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1:39" x14ac:dyDescent="0.25">
      <c r="A105" s="5"/>
      <c r="B105" s="5"/>
      <c r="C105" s="5"/>
      <c r="D105" s="5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1:39" x14ac:dyDescent="0.25">
      <c r="A106" s="5"/>
      <c r="B106" s="5"/>
      <c r="C106" s="5"/>
      <c r="D106" s="5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spans="1:39" x14ac:dyDescent="0.25">
      <c r="A107" s="5"/>
      <c r="B107" s="5"/>
      <c r="C107" s="5"/>
      <c r="D107" s="5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1:39" x14ac:dyDescent="0.25">
      <c r="A108" s="5"/>
      <c r="B108" s="5"/>
      <c r="C108" s="5"/>
      <c r="D108" s="5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spans="1:39" x14ac:dyDescent="0.25">
      <c r="A109" s="5"/>
      <c r="B109" s="5"/>
      <c r="C109" s="5"/>
      <c r="D109" s="5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spans="1:39" x14ac:dyDescent="0.25">
      <c r="A110" s="5"/>
      <c r="B110" s="5"/>
      <c r="C110" s="5"/>
      <c r="D110" s="5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spans="1:39" x14ac:dyDescent="0.25">
      <c r="A111" s="5"/>
      <c r="B111" s="5"/>
      <c r="C111" s="5"/>
      <c r="D111" s="5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spans="1:39" x14ac:dyDescent="0.25">
      <c r="A112" s="5"/>
      <c r="B112" s="5"/>
      <c r="C112" s="5"/>
      <c r="D112" s="5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spans="1:39" x14ac:dyDescent="0.25">
      <c r="A113" s="5"/>
      <c r="B113" s="5"/>
      <c r="C113" s="5"/>
      <c r="D113" s="5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spans="1:39" x14ac:dyDescent="0.25">
      <c r="A114" s="5"/>
      <c r="B114" s="5"/>
      <c r="C114" s="5"/>
      <c r="D114" s="5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spans="1:39" x14ac:dyDescent="0.25">
      <c r="A115" s="5"/>
      <c r="B115" s="5"/>
      <c r="C115" s="5"/>
      <c r="D115" s="5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spans="1:39" x14ac:dyDescent="0.25">
      <c r="A116" s="5"/>
      <c r="B116" s="5"/>
      <c r="C116" s="5"/>
      <c r="D116" s="5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spans="1:39" x14ac:dyDescent="0.25">
      <c r="A117" s="5"/>
      <c r="B117" s="5"/>
      <c r="C117" s="5"/>
      <c r="D117" s="5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spans="1:39" x14ac:dyDescent="0.25">
      <c r="A118" s="5"/>
      <c r="B118" s="5"/>
      <c r="C118" s="5"/>
      <c r="D118" s="5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spans="1:39" x14ac:dyDescent="0.25">
      <c r="A119" s="5"/>
      <c r="B119" s="5"/>
      <c r="C119" s="5"/>
      <c r="D119" s="5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spans="1:39" x14ac:dyDescent="0.25">
      <c r="A120" s="5"/>
      <c r="B120" s="5"/>
      <c r="C120" s="5"/>
      <c r="D120" s="5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spans="1:39" x14ac:dyDescent="0.25">
      <c r="A121" s="5"/>
      <c r="B121" s="5"/>
      <c r="C121" s="5"/>
      <c r="D121" s="5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spans="1:39" x14ac:dyDescent="0.25">
      <c r="A122" s="5"/>
      <c r="B122" s="5"/>
      <c r="C122" s="5"/>
      <c r="D122" s="5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spans="1:39" x14ac:dyDescent="0.25">
      <c r="A123" s="5"/>
      <c r="B123" s="5"/>
      <c r="C123" s="5"/>
      <c r="D123" s="5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spans="1:39" x14ac:dyDescent="0.25">
      <c r="A124" s="5"/>
      <c r="B124" s="5"/>
      <c r="C124" s="5"/>
      <c r="D124" s="5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spans="1:39" x14ac:dyDescent="0.25">
      <c r="A125" s="5"/>
      <c r="B125" s="5"/>
      <c r="C125" s="5"/>
      <c r="D125" s="5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spans="1:39" x14ac:dyDescent="0.25">
      <c r="A126" s="5"/>
      <c r="B126" s="5"/>
      <c r="C126" s="5"/>
      <c r="D126" s="5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spans="1:39" x14ac:dyDescent="0.25">
      <c r="A127" s="5"/>
      <c r="B127" s="5"/>
      <c r="C127" s="5"/>
      <c r="D127" s="5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spans="1:39" x14ac:dyDescent="0.25">
      <c r="A128" s="5"/>
      <c r="B128" s="5"/>
      <c r="C128" s="5"/>
      <c r="D128" s="5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spans="1:39" x14ac:dyDescent="0.25">
      <c r="A129" s="5"/>
      <c r="B129" s="5"/>
      <c r="C129" s="5"/>
      <c r="D129" s="5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spans="1:39" x14ac:dyDescent="0.25">
      <c r="A130" s="5"/>
      <c r="B130" s="5"/>
      <c r="C130" s="5"/>
      <c r="D130" s="5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spans="1:39" x14ac:dyDescent="0.25">
      <c r="A131" s="5"/>
      <c r="B131" s="5"/>
      <c r="C131" s="5"/>
      <c r="D131" s="5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spans="1:39" x14ac:dyDescent="0.25">
      <c r="A132" s="5"/>
      <c r="B132" s="5"/>
      <c r="C132" s="5"/>
      <c r="D132" s="5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spans="1:39" x14ac:dyDescent="0.25">
      <c r="A133" s="5"/>
      <c r="B133" s="5"/>
      <c r="C133" s="5"/>
      <c r="D133" s="5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spans="1:39" x14ac:dyDescent="0.25">
      <c r="A134" s="5"/>
      <c r="B134" s="5"/>
      <c r="C134" s="5"/>
      <c r="D134" s="5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spans="1:39" x14ac:dyDescent="0.25">
      <c r="A135" s="5"/>
      <c r="B135" s="5"/>
      <c r="C135" s="5"/>
      <c r="D135" s="5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spans="1:39" x14ac:dyDescent="0.25">
      <c r="A136" s="5"/>
      <c r="B136" s="5"/>
      <c r="C136" s="5"/>
      <c r="D136" s="5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spans="1:39" x14ac:dyDescent="0.25">
      <c r="A137" s="5"/>
      <c r="B137" s="5"/>
      <c r="C137" s="5"/>
      <c r="D137" s="5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spans="1:39" x14ac:dyDescent="0.25">
      <c r="A138" s="5"/>
      <c r="B138" s="5"/>
      <c r="C138" s="5"/>
      <c r="D138" s="5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spans="1:39" x14ac:dyDescent="0.25">
      <c r="A139" s="5"/>
      <c r="B139" s="5"/>
      <c r="C139" s="5"/>
      <c r="D139" s="5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spans="1:39" x14ac:dyDescent="0.25">
      <c r="A140" s="5"/>
      <c r="B140" s="5"/>
      <c r="C140" s="5"/>
      <c r="D140" s="5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spans="1:39" x14ac:dyDescent="0.25">
      <c r="A141" s="5"/>
      <c r="B141" s="5"/>
      <c r="C141" s="5"/>
      <c r="D141" s="5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spans="1:39" x14ac:dyDescent="0.25">
      <c r="A142" s="5"/>
      <c r="B142" s="5"/>
      <c r="C142" s="5"/>
      <c r="D142" s="5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spans="1:39" x14ac:dyDescent="0.25">
      <c r="A143" s="5"/>
      <c r="B143" s="5"/>
      <c r="C143" s="5"/>
      <c r="D143" s="5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spans="1:39" x14ac:dyDescent="0.25">
      <c r="A144" s="5"/>
      <c r="B144" s="5"/>
      <c r="C144" s="5"/>
      <c r="D144" s="5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spans="1:39" x14ac:dyDescent="0.25">
      <c r="A145" s="5"/>
      <c r="B145" s="5"/>
      <c r="C145" s="5"/>
      <c r="D145" s="5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spans="1:39" x14ac:dyDescent="0.25">
      <c r="A146" s="5"/>
      <c r="B146" s="5"/>
      <c r="C146" s="5"/>
      <c r="D146" s="5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spans="1:39" x14ac:dyDescent="0.25">
      <c r="A147" s="5"/>
      <c r="B147" s="5"/>
      <c r="C147" s="5"/>
      <c r="D147" s="5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spans="1:39" x14ac:dyDescent="0.25">
      <c r="A148" s="5"/>
      <c r="B148" s="5"/>
      <c r="C148" s="5"/>
      <c r="D148" s="5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spans="1:39" x14ac:dyDescent="0.25">
      <c r="A149" s="5"/>
      <c r="B149" s="5"/>
      <c r="C149" s="5"/>
      <c r="D149" s="5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spans="1:39" x14ac:dyDescent="0.25">
      <c r="A150" s="5"/>
      <c r="B150" s="5"/>
      <c r="C150" s="5"/>
      <c r="D150" s="5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spans="1:39" x14ac:dyDescent="0.25">
      <c r="A151" s="5"/>
      <c r="B151" s="5"/>
      <c r="C151" s="5"/>
      <c r="D151" s="5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spans="1:39" x14ac:dyDescent="0.25">
      <c r="A152" s="5"/>
      <c r="B152" s="5"/>
      <c r="C152" s="5"/>
      <c r="D152" s="5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spans="1:39" x14ac:dyDescent="0.25">
      <c r="A153" s="5"/>
      <c r="B153" s="5"/>
      <c r="C153" s="5"/>
      <c r="D153" s="5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spans="1:39" x14ac:dyDescent="0.25">
      <c r="A154" s="5"/>
      <c r="B154" s="5"/>
      <c r="C154" s="5"/>
      <c r="D154" s="5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spans="1:39" x14ac:dyDescent="0.25">
      <c r="A155" s="5"/>
      <c r="B155" s="5"/>
      <c r="C155" s="5"/>
      <c r="D155" s="5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spans="1:39" x14ac:dyDescent="0.25">
      <c r="A156" s="5"/>
      <c r="B156" s="5"/>
      <c r="C156" s="5"/>
      <c r="D156" s="5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spans="1:39" x14ac:dyDescent="0.25">
      <c r="A157" s="5"/>
      <c r="B157" s="5"/>
      <c r="C157" s="5"/>
      <c r="D157" s="5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spans="1:39" x14ac:dyDescent="0.25">
      <c r="A158" s="5"/>
      <c r="B158" s="5"/>
      <c r="C158" s="5"/>
      <c r="D158" s="5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spans="1:39" x14ac:dyDescent="0.25">
      <c r="A159" s="5"/>
      <c r="B159" s="5"/>
      <c r="C159" s="5"/>
      <c r="D159" s="5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spans="1:39" x14ac:dyDescent="0.25">
      <c r="A160" s="5"/>
      <c r="B160" s="5"/>
      <c r="C160" s="5"/>
      <c r="D160" s="5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spans="1:39" x14ac:dyDescent="0.25">
      <c r="A161" s="5"/>
      <c r="B161" s="5"/>
      <c r="C161" s="5"/>
      <c r="D161" s="5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spans="1:39" x14ac:dyDescent="0.25">
      <c r="A162" s="5"/>
      <c r="B162" s="5"/>
      <c r="C162" s="5"/>
      <c r="D162" s="5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spans="1:39" x14ac:dyDescent="0.25">
      <c r="A163" s="5"/>
      <c r="B163" s="5"/>
      <c r="C163" s="5"/>
      <c r="D163" s="5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spans="1:39" x14ac:dyDescent="0.25">
      <c r="A164" s="5"/>
      <c r="B164" s="5"/>
      <c r="C164" s="5"/>
      <c r="D164" s="5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spans="1:39" x14ac:dyDescent="0.25">
      <c r="A165" s="5"/>
      <c r="B165" s="5"/>
      <c r="C165" s="5"/>
      <c r="D165" s="5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spans="1:39" x14ac:dyDescent="0.25">
      <c r="A166" s="5"/>
      <c r="B166" s="5"/>
      <c r="C166" s="5"/>
      <c r="D166" s="5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spans="1:39" x14ac:dyDescent="0.25">
      <c r="A167" s="5"/>
      <c r="B167" s="5"/>
      <c r="C167" s="5"/>
      <c r="D167" s="5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spans="1:39" x14ac:dyDescent="0.25">
      <c r="A168" s="5"/>
      <c r="B168" s="5"/>
      <c r="C168" s="5"/>
      <c r="D168" s="5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spans="1:39" x14ac:dyDescent="0.25">
      <c r="A169" s="5"/>
      <c r="B169" s="5"/>
      <c r="C169" s="5"/>
      <c r="D169" s="5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spans="1:39" x14ac:dyDescent="0.25">
      <c r="A170" s="5"/>
      <c r="B170" s="5"/>
      <c r="C170" s="5"/>
      <c r="D170" s="5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spans="1:39" x14ac:dyDescent="0.25">
      <c r="A171" s="5"/>
      <c r="B171" s="5"/>
      <c r="C171" s="5"/>
      <c r="D171" s="5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spans="1:39" x14ac:dyDescent="0.25">
      <c r="A172" s="5"/>
      <c r="B172" s="5"/>
      <c r="C172" s="5"/>
      <c r="D172" s="5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spans="1:39" x14ac:dyDescent="0.25">
      <c r="A173" s="5"/>
      <c r="B173" s="5"/>
      <c r="C173" s="5"/>
      <c r="D173" s="5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spans="1:39" x14ac:dyDescent="0.25">
      <c r="A174" s="5"/>
      <c r="B174" s="5"/>
      <c r="C174" s="5"/>
      <c r="D174" s="5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spans="1:39" x14ac:dyDescent="0.25">
      <c r="A175" s="5"/>
      <c r="B175" s="5"/>
      <c r="C175" s="5"/>
      <c r="D175" s="5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spans="1:39" x14ac:dyDescent="0.25">
      <c r="A176" s="5"/>
      <c r="B176" s="5"/>
      <c r="C176" s="5"/>
      <c r="D176" s="5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spans="1:39" x14ac:dyDescent="0.25">
      <c r="A177" s="5"/>
      <c r="B177" s="5"/>
      <c r="C177" s="5"/>
      <c r="D177" s="5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spans="1:39" x14ac:dyDescent="0.25">
      <c r="A178" s="5"/>
      <c r="B178" s="5"/>
      <c r="C178" s="5"/>
      <c r="D178" s="5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spans="1:39" x14ac:dyDescent="0.25">
      <c r="A179" s="5"/>
      <c r="B179" s="5"/>
      <c r="C179" s="5"/>
      <c r="D179" s="5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spans="1:39" x14ac:dyDescent="0.25">
      <c r="A180" s="5"/>
      <c r="B180" s="5"/>
      <c r="C180" s="5"/>
      <c r="D180" s="5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spans="1:39" x14ac:dyDescent="0.25">
      <c r="A181" s="5"/>
      <c r="B181" s="5"/>
      <c r="C181" s="5"/>
      <c r="D181" s="5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spans="1:39" x14ac:dyDescent="0.25">
      <c r="A182" s="5"/>
      <c r="B182" s="5"/>
      <c r="C182" s="5"/>
      <c r="D182" s="5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spans="1:39" x14ac:dyDescent="0.25">
      <c r="A183" s="5"/>
      <c r="B183" s="5"/>
      <c r="C183" s="5"/>
      <c r="D183" s="5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spans="1:39" x14ac:dyDescent="0.25">
      <c r="A184" s="5"/>
      <c r="B184" s="5"/>
      <c r="C184" s="5"/>
      <c r="D184" s="5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spans="1:39" x14ac:dyDescent="0.25">
      <c r="A185" s="5"/>
      <c r="B185" s="5"/>
      <c r="C185" s="5"/>
      <c r="D185" s="5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spans="1:39" x14ac:dyDescent="0.25">
      <c r="A186" s="5"/>
      <c r="B186" s="5"/>
      <c r="C186" s="5"/>
      <c r="D186" s="5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spans="1:39" x14ac:dyDescent="0.25">
      <c r="A187" s="5"/>
      <c r="B187" s="5"/>
      <c r="C187" s="5"/>
      <c r="D187" s="5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spans="1:39" x14ac:dyDescent="0.25">
      <c r="A188" s="5"/>
      <c r="B188" s="5"/>
      <c r="C188" s="5"/>
      <c r="D188" s="5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spans="1:39" x14ac:dyDescent="0.25">
      <c r="A189" s="5"/>
      <c r="B189" s="5"/>
      <c r="C189" s="5"/>
      <c r="D189" s="5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spans="1:39" x14ac:dyDescent="0.25">
      <c r="A190" s="5"/>
      <c r="B190" s="5"/>
      <c r="C190" s="5"/>
      <c r="D190" s="5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spans="1:39" x14ac:dyDescent="0.25">
      <c r="A191" s="5"/>
      <c r="B191" s="5"/>
      <c r="C191" s="5"/>
      <c r="D191" s="5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spans="1:39" x14ac:dyDescent="0.25">
      <c r="A192" s="5"/>
      <c r="B192" s="5"/>
      <c r="C192" s="5"/>
      <c r="D192" s="5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spans="1:39" x14ac:dyDescent="0.25">
      <c r="A193" s="5"/>
      <c r="B193" s="5"/>
      <c r="C193" s="5"/>
      <c r="D193" s="5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spans="1:39" x14ac:dyDescent="0.25">
      <c r="A194" s="5"/>
      <c r="B194" s="5"/>
      <c r="C194" s="5"/>
      <c r="D194" s="5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spans="1:39" x14ac:dyDescent="0.25">
      <c r="A195" s="5"/>
      <c r="B195" s="5"/>
      <c r="C195" s="5"/>
      <c r="D195" s="5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spans="1:39" x14ac:dyDescent="0.25">
      <c r="A196" s="5"/>
      <c r="B196" s="5"/>
      <c r="C196" s="5"/>
      <c r="D196" s="5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spans="1:39" x14ac:dyDescent="0.25">
      <c r="A197" s="5"/>
      <c r="B197" s="5"/>
      <c r="C197" s="5"/>
      <c r="D197" s="5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spans="1:39" x14ac:dyDescent="0.25">
      <c r="A198" s="5"/>
      <c r="B198" s="5"/>
      <c r="C198" s="5"/>
      <c r="D198" s="5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spans="1:39" x14ac:dyDescent="0.25">
      <c r="A199" s="5"/>
      <c r="B199" s="5"/>
      <c r="C199" s="5"/>
      <c r="D199" s="5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spans="1:39" x14ac:dyDescent="0.25">
      <c r="A200" s="5"/>
      <c r="B200" s="5"/>
      <c r="C200" s="5"/>
      <c r="D200" s="5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spans="1:39" x14ac:dyDescent="0.25">
      <c r="A201" s="5"/>
      <c r="B201" s="5"/>
      <c r="C201" s="5"/>
      <c r="D201" s="5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spans="1:39" x14ac:dyDescent="0.25">
      <c r="A202" s="5"/>
      <c r="B202" s="5"/>
      <c r="C202" s="5"/>
      <c r="D202" s="5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spans="1:39" x14ac:dyDescent="0.25">
      <c r="A203" s="5"/>
      <c r="B203" s="5"/>
      <c r="C203" s="5"/>
      <c r="D203" s="5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spans="1:39" x14ac:dyDescent="0.25">
      <c r="A204" s="5"/>
      <c r="B204" s="5"/>
      <c r="C204" s="5"/>
      <c r="D204" s="5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spans="1:39" x14ac:dyDescent="0.25">
      <c r="A205" s="5"/>
      <c r="B205" s="5"/>
      <c r="C205" s="5"/>
      <c r="D205" s="5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spans="1:39" x14ac:dyDescent="0.25">
      <c r="A206" s="5"/>
      <c r="B206" s="5"/>
      <c r="C206" s="5"/>
      <c r="D206" s="5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spans="1:39" x14ac:dyDescent="0.25">
      <c r="A207" s="5"/>
      <c r="B207" s="5"/>
      <c r="C207" s="5"/>
      <c r="D207" s="5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spans="1:39" x14ac:dyDescent="0.25">
      <c r="A208" s="5"/>
      <c r="B208" s="5"/>
      <c r="C208" s="5"/>
      <c r="D208" s="5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spans="1:39" x14ac:dyDescent="0.25">
      <c r="A209" s="5"/>
      <c r="B209" s="5"/>
      <c r="C209" s="5"/>
      <c r="D209" s="5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spans="1:39" x14ac:dyDescent="0.25">
      <c r="A210" s="5"/>
      <c r="B210" s="5"/>
      <c r="C210" s="5"/>
      <c r="D210" s="5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spans="1:39" x14ac:dyDescent="0.25">
      <c r="A211" s="5"/>
      <c r="B211" s="5"/>
      <c r="C211" s="5"/>
      <c r="D211" s="5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spans="1:39" x14ac:dyDescent="0.25">
      <c r="A212" s="5"/>
      <c r="B212" s="5"/>
      <c r="C212" s="5"/>
      <c r="D212" s="5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spans="1:39" x14ac:dyDescent="0.25">
      <c r="A213" s="5"/>
      <c r="B213" s="5"/>
      <c r="C213" s="5"/>
      <c r="D213" s="5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spans="1:39" x14ac:dyDescent="0.25">
      <c r="A214" s="5"/>
      <c r="B214" s="5"/>
      <c r="C214" s="5"/>
      <c r="D214" s="5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spans="1:39" x14ac:dyDescent="0.25">
      <c r="A215" s="5"/>
      <c r="B215" s="5"/>
      <c r="C215" s="5"/>
      <c r="D215" s="5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spans="1:39" x14ac:dyDescent="0.25">
      <c r="A216" s="5"/>
      <c r="B216" s="5"/>
      <c r="C216" s="5"/>
      <c r="D216" s="5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spans="1:39" x14ac:dyDescent="0.25">
      <c r="A217" s="5"/>
      <c r="B217" s="5"/>
      <c r="C217" s="5"/>
      <c r="D217" s="5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spans="1:39" x14ac:dyDescent="0.25">
      <c r="A218" s="5"/>
      <c r="B218" s="5"/>
      <c r="C218" s="5"/>
      <c r="D218" s="5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spans="1:39" x14ac:dyDescent="0.25">
      <c r="A219" s="5"/>
      <c r="B219" s="5"/>
      <c r="C219" s="5"/>
      <c r="D219" s="5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spans="1:39" x14ac:dyDescent="0.25">
      <c r="A220" s="5"/>
      <c r="B220" s="5"/>
      <c r="C220" s="5"/>
      <c r="D220" s="5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spans="1:39" x14ac:dyDescent="0.25">
      <c r="A221" s="5"/>
      <c r="B221" s="5"/>
      <c r="C221" s="5"/>
      <c r="D221" s="5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spans="1:39" x14ac:dyDescent="0.25">
      <c r="A222" s="5"/>
      <c r="B222" s="5"/>
      <c r="C222" s="5"/>
      <c r="D222" s="5"/>
      <c r="E222" s="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spans="1:39" x14ac:dyDescent="0.25">
      <c r="A223" s="5"/>
      <c r="B223" s="5"/>
      <c r="C223" s="5"/>
      <c r="D223" s="5"/>
      <c r="E223" s="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spans="1:39" x14ac:dyDescent="0.25">
      <c r="A224" s="5"/>
      <c r="B224" s="5"/>
      <c r="C224" s="5"/>
      <c r="D224" s="5"/>
      <c r="E224" s="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spans="1:39" x14ac:dyDescent="0.25">
      <c r="A225" s="5"/>
      <c r="B225" s="5"/>
      <c r="C225" s="5"/>
      <c r="D225" s="5"/>
      <c r="E225" s="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spans="1:39" x14ac:dyDescent="0.25">
      <c r="A226" s="5"/>
      <c r="B226" s="5"/>
      <c r="C226" s="5"/>
      <c r="D226" s="5"/>
      <c r="E226" s="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spans="1:39" x14ac:dyDescent="0.25">
      <c r="A227" s="5"/>
      <c r="B227" s="5"/>
      <c r="C227" s="5"/>
      <c r="D227" s="5"/>
      <c r="E227" s="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spans="1:39" x14ac:dyDescent="0.25">
      <c r="A228" s="5"/>
      <c r="B228" s="5"/>
      <c r="C228" s="5"/>
      <c r="D228" s="5"/>
      <c r="E228" s="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spans="1:39" x14ac:dyDescent="0.25">
      <c r="A229" s="5"/>
      <c r="B229" s="5"/>
      <c r="C229" s="5"/>
      <c r="D229" s="5"/>
      <c r="E229" s="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spans="1:39" x14ac:dyDescent="0.25">
      <c r="A230" s="5"/>
      <c r="B230" s="5"/>
      <c r="C230" s="5"/>
      <c r="D230" s="5"/>
      <c r="E230" s="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spans="1:39" x14ac:dyDescent="0.25">
      <c r="A231" s="5"/>
      <c r="B231" s="5"/>
      <c r="C231" s="5"/>
      <c r="D231" s="5"/>
      <c r="E231" s="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spans="1:39" x14ac:dyDescent="0.25">
      <c r="A232" s="5"/>
      <c r="B232" s="5"/>
      <c r="C232" s="5"/>
      <c r="D232" s="5"/>
      <c r="E232" s="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spans="1:39" x14ac:dyDescent="0.25">
      <c r="A233" s="5"/>
      <c r="B233" s="5"/>
      <c r="C233" s="5"/>
      <c r="D233" s="5"/>
      <c r="E233" s="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spans="1:39" x14ac:dyDescent="0.25">
      <c r="A234" s="5"/>
      <c r="B234" s="5"/>
      <c r="C234" s="5"/>
      <c r="D234" s="5"/>
      <c r="E234" s="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spans="1:39" x14ac:dyDescent="0.25">
      <c r="A235" s="5"/>
      <c r="B235" s="5"/>
      <c r="C235" s="5"/>
      <c r="D235" s="5"/>
      <c r="E235" s="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spans="1:39" x14ac:dyDescent="0.25">
      <c r="A236" s="5"/>
      <c r="B236" s="5"/>
      <c r="C236" s="5"/>
      <c r="D236" s="5"/>
      <c r="E236" s="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spans="1:39" x14ac:dyDescent="0.25">
      <c r="A237" s="5"/>
      <c r="B237" s="5"/>
      <c r="C237" s="5"/>
      <c r="D237" s="5"/>
      <c r="E237" s="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spans="1:39" x14ac:dyDescent="0.25">
      <c r="A238" s="5"/>
      <c r="B238" s="5"/>
      <c r="C238" s="5"/>
      <c r="D238" s="5"/>
      <c r="E238" s="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spans="1:39" x14ac:dyDescent="0.25">
      <c r="A239" s="5"/>
      <c r="B239" s="5"/>
      <c r="C239" s="5"/>
      <c r="D239" s="5"/>
      <c r="E239" s="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spans="1:39" x14ac:dyDescent="0.25">
      <c r="A240" s="6"/>
      <c r="B240" s="7"/>
      <c r="C240" s="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spans="1:39" x14ac:dyDescent="0.25">
      <c r="A241" s="6"/>
      <c r="B241" s="7"/>
      <c r="C241" s="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spans="1:39" x14ac:dyDescent="0.25">
      <c r="A242" s="6"/>
      <c r="B242" s="7"/>
      <c r="C242" s="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spans="1:39" x14ac:dyDescent="0.25">
      <c r="A243" s="6"/>
      <c r="B243" s="7"/>
      <c r="C243" s="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spans="1:39" x14ac:dyDescent="0.25">
      <c r="A244" s="6"/>
      <c r="B244" s="7"/>
      <c r="C244" s="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spans="1:39" x14ac:dyDescent="0.25">
      <c r="A245" s="6"/>
      <c r="B245" s="7"/>
      <c r="C245" s="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spans="1:39" x14ac:dyDescent="0.25">
      <c r="A246" s="6"/>
      <c r="B246" s="7"/>
      <c r="C246" s="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spans="1:39" x14ac:dyDescent="0.25">
      <c r="A247" s="6"/>
      <c r="B247" s="7"/>
      <c r="C247" s="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spans="1:39" x14ac:dyDescent="0.25">
      <c r="A248" s="6"/>
      <c r="B248" s="7"/>
      <c r="C248" s="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spans="1:39" x14ac:dyDescent="0.25">
      <c r="A249" s="6"/>
      <c r="B249" s="7"/>
      <c r="C249" s="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spans="1:39" x14ac:dyDescent="0.25">
      <c r="A250" s="6"/>
      <c r="B250" s="7"/>
      <c r="C250" s="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spans="1:39" x14ac:dyDescent="0.25">
      <c r="A251" s="6"/>
      <c r="B251" s="7"/>
      <c r="C251" s="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spans="1:39" x14ac:dyDescent="0.25">
      <c r="A252" s="6"/>
      <c r="B252" s="7"/>
      <c r="C252" s="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spans="1:39" x14ac:dyDescent="0.25">
      <c r="A253" s="6"/>
      <c r="B253" s="7"/>
      <c r="C253" s="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spans="1:39" x14ac:dyDescent="0.25">
      <c r="A254" s="6"/>
      <c r="B254" s="7"/>
      <c r="C254" s="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spans="1:39" x14ac:dyDescent="0.25">
      <c r="A255" s="6"/>
      <c r="B255" s="7"/>
      <c r="C255" s="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spans="1:39" x14ac:dyDescent="0.25">
      <c r="A256" s="6"/>
      <c r="B256" s="7"/>
      <c r="C256" s="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spans="1:39" x14ac:dyDescent="0.25">
      <c r="A257" s="6"/>
      <c r="B257" s="7"/>
      <c r="C257" s="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spans="1:39" x14ac:dyDescent="0.25">
      <c r="A258" s="6"/>
      <c r="B258" s="7"/>
      <c r="C258" s="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spans="1:39" x14ac:dyDescent="0.25">
      <c r="A259" s="6"/>
      <c r="B259" s="7"/>
      <c r="C259" s="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spans="1:39" x14ac:dyDescent="0.25">
      <c r="A260" s="6"/>
      <c r="B260" s="7"/>
      <c r="C260" s="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spans="1:39" x14ac:dyDescent="0.25">
      <c r="A261" s="6"/>
      <c r="B261" s="7"/>
      <c r="C261" s="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spans="1:39" x14ac:dyDescent="0.25">
      <c r="A262" s="6"/>
      <c r="B262" s="7"/>
      <c r="C262" s="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spans="1:39" x14ac:dyDescent="0.25">
      <c r="A263" s="6"/>
      <c r="B263" s="7"/>
      <c r="C263" s="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spans="1:39" x14ac:dyDescent="0.25">
      <c r="A264" s="6"/>
      <c r="B264" s="7"/>
      <c r="C264" s="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spans="1:39" x14ac:dyDescent="0.25">
      <c r="A265" s="6"/>
      <c r="B265" s="7"/>
      <c r="C265" s="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spans="1:39" x14ac:dyDescent="0.25">
      <c r="A266" s="6"/>
      <c r="B266" s="7"/>
      <c r="C266" s="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spans="1:39" x14ac:dyDescent="0.25">
      <c r="A267" s="6"/>
      <c r="B267" s="7"/>
      <c r="C267" s="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spans="1:39" x14ac:dyDescent="0.25">
      <c r="A268" s="6"/>
      <c r="B268" s="7"/>
      <c r="C268" s="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spans="1:39" x14ac:dyDescent="0.25">
      <c r="A269" s="6"/>
      <c r="B269" s="7"/>
      <c r="C269" s="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spans="1:39" x14ac:dyDescent="0.25">
      <c r="A270" s="6"/>
      <c r="B270" s="7"/>
      <c r="C270" s="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spans="1:39" x14ac:dyDescent="0.25">
      <c r="A271" s="6"/>
      <c r="B271" s="7"/>
      <c r="C271" s="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spans="1:39" x14ac:dyDescent="0.25">
      <c r="A272" s="6"/>
      <c r="B272" s="7"/>
      <c r="C272" s="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spans="1:39" x14ac:dyDescent="0.25">
      <c r="A273" s="6"/>
      <c r="B273" s="7"/>
      <c r="C273" s="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spans="1:39" x14ac:dyDescent="0.25">
      <c r="A274" s="6"/>
      <c r="B274" s="7"/>
      <c r="C274" s="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spans="1:39" x14ac:dyDescent="0.25">
      <c r="A275" s="6"/>
      <c r="B275" s="7"/>
      <c r="C275" s="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spans="1:39" x14ac:dyDescent="0.25">
      <c r="A276" s="6"/>
      <c r="B276" s="7"/>
      <c r="C276" s="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spans="1:39" x14ac:dyDescent="0.25">
      <c r="A277" s="6"/>
      <c r="B277" s="7"/>
      <c r="C277" s="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spans="1:39" x14ac:dyDescent="0.25">
      <c r="A278" s="6"/>
      <c r="B278" s="7"/>
      <c r="C278" s="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spans="1:39" x14ac:dyDescent="0.25">
      <c r="A279" s="6"/>
      <c r="B279" s="7"/>
      <c r="C279" s="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spans="1:39" x14ac:dyDescent="0.25">
      <c r="A280" s="6"/>
      <c r="B280" s="7"/>
      <c r="C280" s="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spans="1:39" x14ac:dyDescent="0.25">
      <c r="A281" s="6"/>
      <c r="B281" s="7"/>
      <c r="C281" s="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spans="1:39" x14ac:dyDescent="0.25">
      <c r="A282" s="6"/>
      <c r="B282" s="7"/>
      <c r="C282" s="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spans="1:39" x14ac:dyDescent="0.25">
      <c r="A283" s="6"/>
      <c r="B283" s="7"/>
      <c r="C283" s="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spans="1:39" x14ac:dyDescent="0.25">
      <c r="A284" s="6"/>
      <c r="B284" s="7"/>
      <c r="C284" s="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spans="1:39" x14ac:dyDescent="0.25">
      <c r="A285" s="6"/>
      <c r="B285" s="7"/>
      <c r="C285" s="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spans="1:39" x14ac:dyDescent="0.25">
      <c r="A286" s="6"/>
      <c r="B286" s="7"/>
      <c r="C286" s="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spans="1:39" x14ac:dyDescent="0.25">
      <c r="A287" s="6"/>
      <c r="B287" s="7"/>
      <c r="C287" s="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spans="1:39" x14ac:dyDescent="0.25">
      <c r="A288" s="6"/>
      <c r="B288" s="7"/>
      <c r="C288" s="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spans="1:39" x14ac:dyDescent="0.25">
      <c r="A289" s="6"/>
      <c r="B289" s="7"/>
      <c r="C289" s="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spans="1:39" x14ac:dyDescent="0.25">
      <c r="A290" s="6"/>
      <c r="B290" s="7"/>
      <c r="C290" s="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spans="1:39" x14ac:dyDescent="0.25">
      <c r="A291" s="6"/>
      <c r="B291" s="7"/>
      <c r="C291" s="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spans="1:39" x14ac:dyDescent="0.25">
      <c r="A292" s="6"/>
      <c r="B292" s="7"/>
      <c r="C292" s="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spans="1:39" x14ac:dyDescent="0.25">
      <c r="A293" s="6"/>
      <c r="B293" s="7"/>
      <c r="C293" s="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spans="1:39" x14ac:dyDescent="0.25">
      <c r="A294" s="6"/>
      <c r="B294" s="7"/>
      <c r="C294" s="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spans="1:39" x14ac:dyDescent="0.25">
      <c r="A295" s="6"/>
      <c r="B295" s="7"/>
      <c r="C295" s="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spans="1:39" x14ac:dyDescent="0.25">
      <c r="A296" s="6"/>
      <c r="B296" s="7"/>
      <c r="C296" s="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spans="1:39" x14ac:dyDescent="0.25">
      <c r="A297" s="6"/>
      <c r="B297" s="7"/>
      <c r="C297" s="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spans="1:39" x14ac:dyDescent="0.25">
      <c r="A298" s="6"/>
      <c r="B298" s="7"/>
      <c r="C298" s="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spans="1:39" x14ac:dyDescent="0.25">
      <c r="A299" s="6"/>
      <c r="B299" s="7"/>
      <c r="C299" s="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spans="1:39" x14ac:dyDescent="0.25">
      <c r="A300" s="6"/>
      <c r="B300" s="7"/>
      <c r="C300" s="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spans="1:39" x14ac:dyDescent="0.25">
      <c r="A301" s="6"/>
      <c r="B301" s="7"/>
      <c r="C301" s="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spans="1:39" x14ac:dyDescent="0.25">
      <c r="A302" s="6"/>
      <c r="B302" s="7"/>
      <c r="C302" s="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spans="1:39" x14ac:dyDescent="0.25">
      <c r="A303" s="6"/>
      <c r="B303" s="7"/>
      <c r="C303" s="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spans="1:39" x14ac:dyDescent="0.25">
      <c r="A304" s="6"/>
      <c r="B304" s="7"/>
      <c r="C304" s="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spans="1:39" x14ac:dyDescent="0.25">
      <c r="A305" s="6"/>
      <c r="B305" s="7"/>
      <c r="C305" s="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spans="1:39" x14ac:dyDescent="0.25">
      <c r="A306" s="6"/>
      <c r="B306" s="7"/>
      <c r="C306" s="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spans="1:39" x14ac:dyDescent="0.25">
      <c r="A307" s="6"/>
      <c r="B307" s="7"/>
      <c r="C307" s="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spans="1:39" x14ac:dyDescent="0.25">
      <c r="A308" s="6"/>
      <c r="B308" s="7"/>
      <c r="C308" s="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spans="1:39" x14ac:dyDescent="0.25">
      <c r="A309" s="6"/>
      <c r="B309" s="7"/>
      <c r="C309" s="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spans="1:39" x14ac:dyDescent="0.25">
      <c r="A310" s="6"/>
      <c r="B310" s="7"/>
      <c r="C310" s="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spans="1:39" x14ac:dyDescent="0.25">
      <c r="A311" s="6"/>
      <c r="B311" s="7"/>
      <c r="C311" s="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spans="1:39" x14ac:dyDescent="0.25">
      <c r="A312" s="6"/>
      <c r="B312" s="7"/>
      <c r="C312" s="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spans="1:39" x14ac:dyDescent="0.25">
      <c r="A313" s="6"/>
      <c r="B313" s="7"/>
      <c r="C313" s="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spans="1:39" x14ac:dyDescent="0.25">
      <c r="A314" s="6"/>
      <c r="B314" s="7"/>
      <c r="C314" s="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spans="1:39" x14ac:dyDescent="0.25">
      <c r="A315" s="6"/>
      <c r="B315" s="7"/>
      <c r="C315" s="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spans="1:39" x14ac:dyDescent="0.25">
      <c r="A316" s="6"/>
      <c r="B316" s="7"/>
      <c r="C316" s="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spans="1:39" x14ac:dyDescent="0.25">
      <c r="A317" s="6"/>
      <c r="B317" s="7"/>
      <c r="C317" s="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spans="1:39" x14ac:dyDescent="0.25">
      <c r="A318" s="6"/>
      <c r="B318" s="7"/>
      <c r="C318" s="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spans="1:39" x14ac:dyDescent="0.25">
      <c r="A319" s="6"/>
      <c r="B319" s="7"/>
      <c r="C319" s="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spans="1:39" x14ac:dyDescent="0.25">
      <c r="A320" s="6"/>
      <c r="B320" s="7"/>
      <c r="C320" s="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spans="1:39" x14ac:dyDescent="0.25">
      <c r="A321" s="6"/>
      <c r="B321" s="7"/>
      <c r="C321" s="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spans="1:39" x14ac:dyDescent="0.25">
      <c r="A322" s="6"/>
      <c r="B322" s="7"/>
      <c r="C322" s="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spans="1:39" x14ac:dyDescent="0.25">
      <c r="A323" s="6"/>
      <c r="B323" s="7"/>
      <c r="C323" s="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spans="1:39" x14ac:dyDescent="0.25">
      <c r="A324" s="6"/>
      <c r="B324" s="7"/>
      <c r="C324" s="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spans="1:39" x14ac:dyDescent="0.25">
      <c r="A325" s="6"/>
      <c r="B325" s="7"/>
      <c r="C325" s="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spans="1:39" x14ac:dyDescent="0.25">
      <c r="A326" s="6"/>
      <c r="B326" s="7"/>
      <c r="C326" s="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spans="1:39" x14ac:dyDescent="0.25">
      <c r="A327" s="6"/>
      <c r="B327" s="7"/>
      <c r="C327" s="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spans="1:39" x14ac:dyDescent="0.25">
      <c r="A328" s="6"/>
      <c r="B328" s="7"/>
      <c r="C328" s="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spans="1:39" x14ac:dyDescent="0.25">
      <c r="A329" s="6"/>
      <c r="B329" s="7"/>
      <c r="C329" s="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spans="1:39" x14ac:dyDescent="0.25">
      <c r="A330" s="6"/>
      <c r="B330" s="7"/>
      <c r="C330" s="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spans="1:39" x14ac:dyDescent="0.25">
      <c r="A331" s="6"/>
      <c r="B331" s="7"/>
      <c r="C331" s="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spans="1:39" x14ac:dyDescent="0.25">
      <c r="A332" s="6"/>
      <c r="B332" s="7"/>
      <c r="C332" s="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spans="1:39" x14ac:dyDescent="0.25">
      <c r="A333" s="6"/>
      <c r="B333" s="7"/>
      <c r="C333" s="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spans="1:39" x14ac:dyDescent="0.25">
      <c r="A334" s="6"/>
      <c r="B334" s="7"/>
      <c r="C334" s="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spans="1:39" x14ac:dyDescent="0.25">
      <c r="A335" s="6"/>
      <c r="B335" s="7"/>
      <c r="C335" s="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spans="1:39" x14ac:dyDescent="0.25">
      <c r="A336" s="6"/>
      <c r="B336" s="7"/>
      <c r="C336" s="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spans="1:39" x14ac:dyDescent="0.25">
      <c r="A337" s="6"/>
      <c r="B337" s="7"/>
      <c r="C337" s="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spans="1:39" x14ac:dyDescent="0.25">
      <c r="A338" s="6"/>
      <c r="B338" s="7"/>
      <c r="C338" s="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spans="1:39" x14ac:dyDescent="0.25">
      <c r="A339" s="6"/>
      <c r="B339" s="7"/>
      <c r="C339" s="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spans="1:39" x14ac:dyDescent="0.25">
      <c r="A340" s="6"/>
      <c r="B340" s="7"/>
      <c r="C340" s="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spans="1:39" x14ac:dyDescent="0.25">
      <c r="A341" s="6"/>
      <c r="B341" s="7"/>
      <c r="C341" s="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spans="1:39" x14ac:dyDescent="0.25">
      <c r="A342" s="6"/>
      <c r="B342" s="7"/>
      <c r="C342" s="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spans="1:39" x14ac:dyDescent="0.25">
      <c r="A343" s="6"/>
      <c r="B343" s="7"/>
      <c r="C343" s="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spans="1:39" x14ac:dyDescent="0.25">
      <c r="A344" s="6"/>
      <c r="B344" s="7"/>
      <c r="C344" s="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spans="1:39" x14ac:dyDescent="0.25">
      <c r="A345" s="6"/>
      <c r="B345" s="7"/>
      <c r="C345" s="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spans="1:39" x14ac:dyDescent="0.25">
      <c r="A346" s="6"/>
      <c r="B346" s="7"/>
      <c r="C346" s="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spans="1:39" x14ac:dyDescent="0.25">
      <c r="A347" s="6"/>
      <c r="B347" s="7"/>
      <c r="C347" s="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spans="1:39" x14ac:dyDescent="0.25">
      <c r="A348" s="6"/>
      <c r="B348" s="7"/>
      <c r="C348" s="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spans="1:39" x14ac:dyDescent="0.25">
      <c r="A349" s="6"/>
      <c r="B349" s="7"/>
      <c r="C349" s="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spans="1:39" x14ac:dyDescent="0.25">
      <c r="A350" s="6"/>
      <c r="B350" s="7"/>
      <c r="C350" s="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spans="1:39" x14ac:dyDescent="0.25">
      <c r="A351" s="6"/>
      <c r="B351" s="7"/>
      <c r="C351" s="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spans="1:39" x14ac:dyDescent="0.25">
      <c r="A352" s="6"/>
      <c r="B352" s="7"/>
      <c r="C352" s="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spans="1:39" x14ac:dyDescent="0.25">
      <c r="A353" s="6"/>
      <c r="B353" s="7"/>
      <c r="C353" s="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spans="1:39" x14ac:dyDescent="0.25">
      <c r="A354" s="6"/>
      <c r="B354" s="7"/>
      <c r="C354" s="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spans="1:39" x14ac:dyDescent="0.25">
      <c r="A355" s="6"/>
      <c r="B355" s="7"/>
      <c r="C355" s="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spans="1:39" x14ac:dyDescent="0.25">
      <c r="A356" s="6"/>
      <c r="B356" s="7"/>
      <c r="C356" s="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spans="1:39" x14ac:dyDescent="0.25">
      <c r="A357" s="6"/>
      <c r="B357" s="7"/>
      <c r="C357" s="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spans="1:39" x14ac:dyDescent="0.25">
      <c r="A358" s="6"/>
      <c r="B358" s="7"/>
      <c r="C358" s="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spans="1:39" x14ac:dyDescent="0.25">
      <c r="A359" s="6"/>
      <c r="B359" s="7"/>
      <c r="C359" s="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spans="1:39" x14ac:dyDescent="0.25">
      <c r="A360" s="6"/>
      <c r="B360" s="7"/>
      <c r="C360" s="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spans="1:39" x14ac:dyDescent="0.25">
      <c r="A361" s="6"/>
      <c r="B361" s="7"/>
      <c r="C361" s="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spans="1:39" x14ac:dyDescent="0.25">
      <c r="A362" s="6"/>
      <c r="B362" s="7"/>
      <c r="C362" s="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spans="1:39" x14ac:dyDescent="0.25">
      <c r="A363" s="6"/>
      <c r="B363" s="7"/>
      <c r="C363" s="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spans="1:39" x14ac:dyDescent="0.25">
      <c r="A364" s="6"/>
      <c r="B364" s="7"/>
      <c r="C364" s="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spans="1:39" x14ac:dyDescent="0.25">
      <c r="A365" s="6"/>
      <c r="B365" s="7"/>
      <c r="C365" s="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spans="1:39" x14ac:dyDescent="0.25">
      <c r="A366" s="6"/>
      <c r="B366" s="7"/>
      <c r="C366" s="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spans="1:39" x14ac:dyDescent="0.25">
      <c r="A367" s="6"/>
      <c r="B367" s="7"/>
      <c r="C367" s="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spans="1:39" x14ac:dyDescent="0.25">
      <c r="A368" s="6"/>
      <c r="B368" s="7"/>
      <c r="C368" s="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spans="1:39" x14ac:dyDescent="0.25">
      <c r="A369" s="6"/>
      <c r="B369" s="7"/>
      <c r="C369" s="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spans="1:39" x14ac:dyDescent="0.25">
      <c r="A370" s="6"/>
      <c r="B370" s="7"/>
      <c r="C370" s="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spans="1:39" x14ac:dyDescent="0.25">
      <c r="A371" s="6"/>
      <c r="B371" s="7"/>
      <c r="C371" s="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spans="1:39" x14ac:dyDescent="0.25">
      <c r="A372" s="6"/>
      <c r="B372" s="7"/>
      <c r="C372" s="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spans="1:39" x14ac:dyDescent="0.25">
      <c r="A373" s="6"/>
      <c r="B373" s="7"/>
      <c r="C373" s="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spans="1:39" x14ac:dyDescent="0.25">
      <c r="A374" s="6"/>
      <c r="B374" s="7"/>
      <c r="C374" s="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spans="1:39" x14ac:dyDescent="0.25">
      <c r="A375" s="6"/>
      <c r="B375" s="7"/>
      <c r="C375" s="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spans="1:39" x14ac:dyDescent="0.25">
      <c r="A376" s="6"/>
      <c r="B376" s="7"/>
      <c r="C376" s="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spans="1:39" x14ac:dyDescent="0.25">
      <c r="A377" s="6"/>
      <c r="B377" s="7"/>
      <c r="C377" s="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spans="1:39" x14ac:dyDescent="0.25">
      <c r="A378" s="6"/>
      <c r="B378" s="7"/>
      <c r="C378" s="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spans="1:39" x14ac:dyDescent="0.25">
      <c r="A379" s="6"/>
      <c r="B379" s="7"/>
      <c r="C379" s="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spans="1:39" x14ac:dyDescent="0.25">
      <c r="A380" s="6"/>
      <c r="B380" s="7"/>
      <c r="C380" s="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spans="1:39" x14ac:dyDescent="0.25">
      <c r="A381" s="6"/>
      <c r="B381" s="7"/>
      <c r="C381" s="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spans="1:39" x14ac:dyDescent="0.25">
      <c r="A382" s="6"/>
      <c r="B382" s="7"/>
      <c r="C382" s="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spans="1:39" x14ac:dyDescent="0.25">
      <c r="A383" s="6"/>
      <c r="B383" s="7"/>
      <c r="C383" s="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spans="1:39" x14ac:dyDescent="0.25">
      <c r="A384" s="6"/>
      <c r="B384" s="7"/>
      <c r="C384" s="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spans="1:39" x14ac:dyDescent="0.25">
      <c r="A385" s="6"/>
      <c r="B385" s="7"/>
      <c r="C385" s="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spans="1:39" x14ac:dyDescent="0.25">
      <c r="A386" s="6"/>
      <c r="B386" s="7"/>
      <c r="C386" s="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spans="1:39" x14ac:dyDescent="0.25">
      <c r="A387" s="6"/>
      <c r="B387" s="7"/>
      <c r="C387" s="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spans="1:39" x14ac:dyDescent="0.25">
      <c r="A388" s="6"/>
      <c r="B388" s="7"/>
      <c r="C388" s="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spans="1:39" x14ac:dyDescent="0.25">
      <c r="A389" s="6"/>
      <c r="B389" s="7"/>
      <c r="C389" s="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spans="1:39" x14ac:dyDescent="0.25">
      <c r="A390" s="6"/>
      <c r="B390" s="7"/>
      <c r="C390" s="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spans="1:39" x14ac:dyDescent="0.25">
      <c r="A391" s="6"/>
      <c r="B391" s="7"/>
      <c r="C391" s="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spans="1:39" x14ac:dyDescent="0.25">
      <c r="A392" s="6"/>
      <c r="B392" s="7"/>
      <c r="C392" s="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spans="1:39" x14ac:dyDescent="0.25">
      <c r="A393" s="6"/>
      <c r="B393" s="7"/>
      <c r="C393" s="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spans="1:39" x14ac:dyDescent="0.25">
      <c r="A394" s="6"/>
      <c r="B394" s="7"/>
      <c r="C394" s="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spans="1:39" x14ac:dyDescent="0.25">
      <c r="A395" s="6"/>
      <c r="B395" s="7"/>
      <c r="C395" s="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spans="1:39" x14ac:dyDescent="0.25">
      <c r="A396" s="6"/>
      <c r="B396" s="7"/>
      <c r="C396" s="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spans="1:39" x14ac:dyDescent="0.25">
      <c r="A397" s="6"/>
      <c r="B397" s="7"/>
      <c r="C397" s="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spans="1:39" x14ac:dyDescent="0.25">
      <c r="A398" s="6"/>
      <c r="B398" s="7"/>
      <c r="C398" s="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spans="1:39" x14ac:dyDescent="0.25">
      <c r="A399" s="6"/>
      <c r="B399" s="7"/>
      <c r="C399" s="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spans="1:39" x14ac:dyDescent="0.25">
      <c r="A400" s="6"/>
      <c r="B400" s="7"/>
      <c r="C400" s="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spans="1:39" x14ac:dyDescent="0.25">
      <c r="A401" s="6"/>
      <c r="B401" s="7"/>
      <c r="C401" s="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spans="1:39" x14ac:dyDescent="0.25">
      <c r="A402" s="6"/>
      <c r="B402" s="7"/>
      <c r="C402" s="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spans="1:39" x14ac:dyDescent="0.25">
      <c r="A403" s="6"/>
      <c r="B403" s="7"/>
      <c r="C403" s="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spans="1:39" x14ac:dyDescent="0.25">
      <c r="A404" s="6"/>
      <c r="B404" s="7"/>
      <c r="C404" s="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spans="1:39" x14ac:dyDescent="0.25">
      <c r="A405" s="6"/>
      <c r="B405" s="7"/>
      <c r="C405" s="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spans="1:39" x14ac:dyDescent="0.25">
      <c r="A406" s="6"/>
      <c r="B406" s="7"/>
      <c r="C406" s="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spans="1:39" x14ac:dyDescent="0.25">
      <c r="A407" s="6"/>
      <c r="B407" s="7"/>
      <c r="C407" s="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spans="1:39" x14ac:dyDescent="0.25">
      <c r="A408" s="6"/>
      <c r="B408" s="7"/>
      <c r="C408" s="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spans="1:39" x14ac:dyDescent="0.25">
      <c r="A409" s="6"/>
      <c r="B409" s="7"/>
      <c r="C409" s="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spans="1:39" x14ac:dyDescent="0.25">
      <c r="A410" s="6"/>
      <c r="B410" s="7"/>
      <c r="C410" s="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spans="1:39" x14ac:dyDescent="0.25">
      <c r="A411" s="6"/>
      <c r="B411" s="7"/>
      <c r="C411" s="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spans="1:39" x14ac:dyDescent="0.25">
      <c r="A412" s="6"/>
      <c r="B412" s="7"/>
      <c r="C412" s="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spans="1:39" x14ac:dyDescent="0.25">
      <c r="A413" s="6"/>
      <c r="B413" s="7"/>
      <c r="C413" s="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spans="1:39" x14ac:dyDescent="0.25">
      <c r="A414" s="6"/>
      <c r="B414" s="7"/>
      <c r="C414" s="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spans="1:39" x14ac:dyDescent="0.25">
      <c r="A415" s="6"/>
      <c r="B415" s="7"/>
      <c r="C415" s="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spans="1:39" x14ac:dyDescent="0.25">
      <c r="A416" s="6"/>
      <c r="B416" s="7"/>
      <c r="C416" s="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spans="1:39" x14ac:dyDescent="0.25">
      <c r="A417" s="6"/>
      <c r="B417" s="7"/>
      <c r="C417" s="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spans="1:39" x14ac:dyDescent="0.25">
      <c r="A418" s="6"/>
      <c r="B418" s="7"/>
      <c r="C418" s="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spans="1:39" x14ac:dyDescent="0.25">
      <c r="A419" s="6"/>
      <c r="B419" s="7"/>
      <c r="C419" s="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spans="1:39" x14ac:dyDescent="0.25">
      <c r="A420" s="6"/>
      <c r="B420" s="7"/>
      <c r="C420" s="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spans="1:39" x14ac:dyDescent="0.25">
      <c r="A421" s="6"/>
      <c r="B421" s="7"/>
      <c r="C421" s="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spans="1:39" x14ac:dyDescent="0.25">
      <c r="A422" s="6"/>
      <c r="B422" s="7"/>
      <c r="C422" s="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spans="1:39" x14ac:dyDescent="0.25">
      <c r="A423" s="6"/>
      <c r="B423" s="7"/>
      <c r="C423" s="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spans="1:39" x14ac:dyDescent="0.25">
      <c r="A424" s="6"/>
      <c r="B424" s="7"/>
      <c r="C424" s="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spans="1:39" x14ac:dyDescent="0.25">
      <c r="A425" s="6"/>
      <c r="B425" s="7"/>
      <c r="C425" s="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spans="1:39" x14ac:dyDescent="0.25">
      <c r="A426" s="6"/>
      <c r="B426" s="7"/>
      <c r="C426" s="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spans="1:39" x14ac:dyDescent="0.25">
      <c r="A427" s="6"/>
      <c r="B427" s="7"/>
      <c r="C427" s="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spans="1:39" x14ac:dyDescent="0.25">
      <c r="A428" s="6"/>
      <c r="B428" s="7"/>
      <c r="C428" s="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spans="1:39" x14ac:dyDescent="0.25">
      <c r="A429" s="6"/>
      <c r="B429" s="7"/>
      <c r="C429" s="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spans="1:39" x14ac:dyDescent="0.25">
      <c r="A430" s="6"/>
      <c r="B430" s="7"/>
      <c r="C430" s="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spans="1:39" x14ac:dyDescent="0.25">
      <c r="A431" s="6"/>
      <c r="B431" s="7"/>
      <c r="C431" s="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spans="1:39" x14ac:dyDescent="0.25">
      <c r="A432" s="6"/>
      <c r="B432" s="7"/>
      <c r="C432" s="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spans="1:39" x14ac:dyDescent="0.25">
      <c r="A433" s="6"/>
      <c r="B433" s="7"/>
      <c r="C433" s="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spans="1:39" x14ac:dyDescent="0.25">
      <c r="A434" s="6"/>
      <c r="B434" s="7"/>
      <c r="C434" s="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spans="1:39" x14ac:dyDescent="0.25">
      <c r="A435" s="6"/>
      <c r="B435" s="7"/>
      <c r="C435" s="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spans="1:39" x14ac:dyDescent="0.25">
      <c r="A436" s="6"/>
      <c r="B436" s="7"/>
      <c r="C436" s="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spans="1:39" x14ac:dyDescent="0.25">
      <c r="A437" s="6"/>
      <c r="B437" s="7"/>
      <c r="C437" s="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spans="1:39" x14ac:dyDescent="0.25">
      <c r="A438" s="6"/>
      <c r="B438" s="7"/>
      <c r="C438" s="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spans="1:39" x14ac:dyDescent="0.25">
      <c r="A439" s="6"/>
      <c r="B439" s="7"/>
      <c r="C439" s="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spans="1:39" x14ac:dyDescent="0.25">
      <c r="A440" s="6"/>
      <c r="B440" s="7"/>
      <c r="C440" s="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spans="1:39" x14ac:dyDescent="0.25">
      <c r="A441" s="6"/>
      <c r="B441" s="7"/>
      <c r="C441" s="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spans="1:39" x14ac:dyDescent="0.25">
      <c r="A442" s="6"/>
      <c r="B442" s="7"/>
      <c r="C442" s="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spans="1:39" x14ac:dyDescent="0.25">
      <c r="A443" s="6"/>
      <c r="B443" s="7"/>
      <c r="C443" s="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spans="1:39" x14ac:dyDescent="0.25">
      <c r="A444" s="6"/>
      <c r="B444" s="7"/>
      <c r="C444" s="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spans="1:39" x14ac:dyDescent="0.25">
      <c r="A445" s="6"/>
      <c r="B445" s="7"/>
      <c r="C445" s="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spans="1:39" x14ac:dyDescent="0.25">
      <c r="A446" s="6"/>
      <c r="B446" s="7"/>
      <c r="C446" s="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spans="1:39" x14ac:dyDescent="0.25">
      <c r="A447" s="6"/>
      <c r="B447" s="7"/>
      <c r="C447" s="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spans="1:39" x14ac:dyDescent="0.25">
      <c r="A448" s="6"/>
      <c r="B448" s="7"/>
      <c r="C448" s="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spans="1:39" x14ac:dyDescent="0.25">
      <c r="A449" s="6"/>
      <c r="B449" s="7"/>
      <c r="C449" s="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spans="1:39" x14ac:dyDescent="0.25">
      <c r="A450" s="6"/>
      <c r="B450" s="7"/>
      <c r="C450" s="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spans="1:39" x14ac:dyDescent="0.25">
      <c r="A451" s="6"/>
      <c r="B451" s="7"/>
      <c r="C451" s="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spans="1:39" x14ac:dyDescent="0.25">
      <c r="A452" s="6"/>
      <c r="B452" s="7"/>
      <c r="C452" s="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spans="1:39" x14ac:dyDescent="0.25">
      <c r="A453" s="6"/>
      <c r="B453" s="7"/>
      <c r="C453" s="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spans="1:39" x14ac:dyDescent="0.25">
      <c r="A454" s="6"/>
      <c r="B454" s="7"/>
      <c r="C454" s="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spans="1:39" x14ac:dyDescent="0.25">
      <c r="A455" s="6"/>
      <c r="B455" s="7"/>
      <c r="C455" s="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spans="1:39" x14ac:dyDescent="0.25">
      <c r="A456" s="6"/>
      <c r="B456" s="7"/>
      <c r="C456" s="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spans="1:39" x14ac:dyDescent="0.25">
      <c r="A457" s="6"/>
      <c r="B457" s="7"/>
      <c r="C457" s="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spans="1:39" x14ac:dyDescent="0.25">
      <c r="A458" s="6"/>
      <c r="B458" s="7"/>
      <c r="C458" s="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spans="1:39" x14ac:dyDescent="0.25">
      <c r="A459" s="6"/>
      <c r="B459" s="7"/>
      <c r="C459" s="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spans="1:39" x14ac:dyDescent="0.25">
      <c r="A460" s="6"/>
      <c r="B460" s="7"/>
      <c r="C460" s="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spans="1:39" x14ac:dyDescent="0.25">
      <c r="A461" s="6"/>
      <c r="B461" s="7"/>
      <c r="C461" s="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spans="1:39" x14ac:dyDescent="0.25">
      <c r="A462" s="6"/>
      <c r="B462" s="7"/>
      <c r="C462" s="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spans="1:39" x14ac:dyDescent="0.25">
      <c r="A463" s="6"/>
      <c r="B463" s="7"/>
      <c r="C463" s="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spans="1:39" x14ac:dyDescent="0.25">
      <c r="A464" s="6"/>
      <c r="B464" s="7"/>
      <c r="C464" s="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spans="1:39" x14ac:dyDescent="0.25">
      <c r="A465" s="6"/>
      <c r="B465" s="7"/>
      <c r="C465" s="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spans="1:39" x14ac:dyDescent="0.25">
      <c r="A466" s="6"/>
      <c r="B466" s="7"/>
      <c r="C466" s="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spans="1:39" x14ac:dyDescent="0.25">
      <c r="A467" s="6"/>
      <c r="B467" s="7"/>
      <c r="C467" s="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spans="1:39" x14ac:dyDescent="0.25">
      <c r="A468" s="6"/>
      <c r="B468" s="7"/>
      <c r="C468" s="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spans="1:39" x14ac:dyDescent="0.25">
      <c r="A469" s="6"/>
      <c r="B469" s="7"/>
      <c r="C469" s="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spans="1:39" x14ac:dyDescent="0.25">
      <c r="A470" s="6"/>
      <c r="B470" s="7"/>
      <c r="C470" s="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spans="1:39" x14ac:dyDescent="0.25">
      <c r="A471" s="6"/>
      <c r="B471" s="7"/>
      <c r="C471" s="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spans="1:39" x14ac:dyDescent="0.25">
      <c r="A472" s="6"/>
      <c r="B472" s="7"/>
      <c r="C472" s="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spans="1:39" x14ac:dyDescent="0.25">
      <c r="A473" s="6"/>
      <c r="B473" s="7"/>
      <c r="C473" s="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spans="1:39" x14ac:dyDescent="0.25">
      <c r="A474" s="6"/>
      <c r="B474" s="7"/>
      <c r="C474" s="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spans="1:39" x14ac:dyDescent="0.25">
      <c r="A475" s="6"/>
      <c r="B475" s="7"/>
      <c r="C475" s="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spans="1:39" x14ac:dyDescent="0.25">
      <c r="A476" s="6"/>
      <c r="B476" s="7"/>
      <c r="C476" s="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spans="1:39" x14ac:dyDescent="0.25">
      <c r="A477" s="6"/>
      <c r="B477" s="7"/>
      <c r="C477" s="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spans="1:39" x14ac:dyDescent="0.25">
      <c r="A478" s="6"/>
      <c r="B478" s="7"/>
      <c r="C478" s="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spans="1:39" x14ac:dyDescent="0.25">
      <c r="A479" s="6"/>
      <c r="B479" s="7"/>
      <c r="C479" s="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spans="1:39" x14ac:dyDescent="0.25">
      <c r="A480" s="6"/>
      <c r="B480" s="7"/>
      <c r="C480" s="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spans="1:39" x14ac:dyDescent="0.25">
      <c r="A481" s="6"/>
      <c r="B481" s="7"/>
      <c r="C481" s="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spans="1:39" x14ac:dyDescent="0.25">
      <c r="A482" s="6"/>
      <c r="B482" s="7"/>
      <c r="C482" s="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spans="1:39" x14ac:dyDescent="0.25">
      <c r="A483" s="6"/>
      <c r="B483" s="7"/>
      <c r="C483" s="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spans="1:39" x14ac:dyDescent="0.25">
      <c r="A484" s="6"/>
      <c r="B484" s="7"/>
      <c r="C484" s="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spans="1:39" x14ac:dyDescent="0.25">
      <c r="A485" s="6"/>
      <c r="B485" s="7"/>
      <c r="C485" s="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spans="1:39" x14ac:dyDescent="0.25">
      <c r="A486" s="6"/>
      <c r="B486" s="7"/>
      <c r="C486" s="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spans="1:39" x14ac:dyDescent="0.25">
      <c r="A487" s="6"/>
      <c r="B487" s="7"/>
      <c r="C487" s="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spans="1:39" x14ac:dyDescent="0.25">
      <c r="A488" s="6"/>
      <c r="B488" s="7"/>
      <c r="C488" s="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spans="1:39" x14ac:dyDescent="0.25">
      <c r="A489" s="6"/>
      <c r="B489" s="7"/>
      <c r="C489" s="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spans="1:39" x14ac:dyDescent="0.25">
      <c r="A490" s="6"/>
      <c r="B490" s="7"/>
      <c r="C490" s="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spans="1:39" x14ac:dyDescent="0.25">
      <c r="A491" s="6"/>
      <c r="B491" s="7"/>
      <c r="C491" s="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spans="1:39" x14ac:dyDescent="0.25">
      <c r="A492" s="6"/>
      <c r="B492" s="7"/>
      <c r="C492" s="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spans="1:39" x14ac:dyDescent="0.25">
      <c r="A493" s="6"/>
      <c r="B493" s="7"/>
      <c r="C493" s="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spans="1:39" x14ac:dyDescent="0.25">
      <c r="A494" s="6"/>
      <c r="B494" s="7"/>
      <c r="C494" s="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spans="1:39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spans="1:39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spans="1:39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spans="1:39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spans="1:39" x14ac:dyDescent="0.25"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</sheetData>
  <mergeCells count="1">
    <mergeCell ref="A1:E1"/>
  </mergeCells>
  <conditionalFormatting sqref="B3:B11">
    <cfRule type="expression" dxfId="4" priority="3" stopIfTrue="1">
      <formula>AND(ISNUMBER(B3), B3&lt;TODAY())</formula>
    </cfRule>
    <cfRule type="expression" dxfId="3" priority="4" stopIfTrue="1">
      <formula>AND(ISNUMBER(B3), B3&gt;=TODAY(), B3&lt;=TODAY()+30)</formula>
    </cfRule>
  </conditionalFormatting>
  <conditionalFormatting sqref="C3:C11">
    <cfRule type="expression" dxfId="2" priority="5">
      <formula>AND(ISBLANK(C3),ISBLANK(C3))</formula>
    </cfRule>
    <cfRule type="expression" dxfId="1" priority="6" stopIfTrue="1">
      <formula>AND(ISNUMBER(C3),C3&lt;TODAY())</formula>
    </cfRule>
    <cfRule type="expression" dxfId="0" priority="7" stopIfTrue="1">
      <formula>AND(ISNUMBER(C3),C3&gt;=TODAY(),C3&lt;=TODAY()+30)</formula>
    </cfRule>
  </conditionalFormatting>
  <dataValidations count="2">
    <dataValidation type="list" allowBlank="1" showInputMessage="1" showErrorMessage="1" sqref="D3:D11" xr:uid="{7B2CE7C9-C703-7241-896A-76B4621EA343}">
      <formula1>$W$3:$W$11</formula1>
    </dataValidation>
    <dataValidation type="list" allowBlank="1" showInputMessage="1" showErrorMessage="1" sqref="C36" xr:uid="{3405D68F-DE7D-0548-88A5-D4F579FB3BA4}">
      <formula1>$A$3:$A$55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D7A5-D057-164B-B3F1-354ACD6CBF9F}">
  <dimension ref="A1:N46"/>
  <sheetViews>
    <sheetView zoomScale="134" workbookViewId="0">
      <selection activeCell="A2" sqref="A2"/>
    </sheetView>
  </sheetViews>
  <sheetFormatPr defaultColWidth="10.85546875" defaultRowHeight="15" x14ac:dyDescent="0.25"/>
  <cols>
    <col min="1" max="16384" width="10.85546875" style="3"/>
  </cols>
  <sheetData>
    <row r="1" spans="1:14" s="105" customFormat="1" ht="21" x14ac:dyDescent="0.35">
      <c r="A1" s="104" t="s">
        <v>222</v>
      </c>
    </row>
    <row r="2" spans="1:14" x14ac:dyDescent="0.25">
      <c r="A2" s="92" t="s">
        <v>221</v>
      </c>
    </row>
    <row r="4" spans="1:14" ht="15.75" x14ac:dyDescent="0.25">
      <c r="A4" s="93"/>
    </row>
    <row r="5" spans="1:14" ht="15.75" x14ac:dyDescent="0.25">
      <c r="A5" s="93"/>
    </row>
    <row r="6" spans="1:14" ht="15.75" x14ac:dyDescent="0.25">
      <c r="A6" s="93"/>
    </row>
    <row r="7" spans="1:14" ht="15.75" x14ac:dyDescent="0.25">
      <c r="A7" s="93"/>
    </row>
    <row r="8" spans="1:14" ht="18.75" x14ac:dyDescent="0.3">
      <c r="A8" s="99"/>
      <c r="B8" s="100"/>
      <c r="C8" s="100"/>
      <c r="D8" s="100"/>
      <c r="E8" s="100"/>
      <c r="F8" s="99"/>
      <c r="G8" s="97"/>
      <c r="H8" s="97"/>
      <c r="I8" s="97"/>
      <c r="J8" s="97"/>
    </row>
    <row r="9" spans="1:14" ht="15.75" x14ac:dyDescent="0.25">
      <c r="A9" s="93"/>
      <c r="C9" s="93"/>
      <c r="F9" s="93"/>
    </row>
    <row r="10" spans="1:14" ht="15.75" x14ac:dyDescent="0.25">
      <c r="F10" s="98"/>
      <c r="G10" s="93"/>
    </row>
    <row r="11" spans="1:14" ht="15.75" x14ac:dyDescent="0.25">
      <c r="F11" s="93"/>
      <c r="G11" s="93"/>
    </row>
    <row r="12" spans="1:14" ht="15.95" customHeight="1" x14ac:dyDescent="0.25">
      <c r="A12" s="155"/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</row>
    <row r="13" spans="1:14" ht="15.95" customHeight="1" x14ac:dyDescent="0.25">
      <c r="A13" s="155"/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</row>
    <row r="14" spans="1:14" ht="15.95" customHeight="1" x14ac:dyDescent="0.25">
      <c r="A14" s="155"/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</row>
    <row r="15" spans="1:14" ht="15.95" customHeight="1" x14ac:dyDescent="0.25">
      <c r="A15" s="155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</row>
    <row r="16" spans="1:14" ht="15.75" x14ac:dyDescent="0.25">
      <c r="A16" s="93"/>
    </row>
    <row r="17" spans="1:12" ht="15.75" x14ac:dyDescent="0.25">
      <c r="A17" s="93"/>
    </row>
    <row r="18" spans="1:12" ht="15.75" x14ac:dyDescent="0.25">
      <c r="A18" s="93"/>
    </row>
    <row r="19" spans="1:12" ht="15.75" x14ac:dyDescent="0.25">
      <c r="A19" s="93"/>
    </row>
    <row r="20" spans="1:12" ht="15.75" x14ac:dyDescent="0.25">
      <c r="A20" s="94"/>
    </row>
    <row r="21" spans="1:12" ht="15.75" x14ac:dyDescent="0.25">
      <c r="A21" s="93"/>
    </row>
    <row r="22" spans="1:12" ht="15.75" x14ac:dyDescent="0.25">
      <c r="A22" s="93"/>
    </row>
    <row r="23" spans="1:12" ht="15.75" x14ac:dyDescent="0.25">
      <c r="A23" s="93"/>
    </row>
    <row r="24" spans="1:12" ht="15.75" x14ac:dyDescent="0.25">
      <c r="A24" s="94"/>
      <c r="E24" s="94"/>
      <c r="I24" s="94"/>
    </row>
    <row r="25" spans="1:12" ht="15.75" x14ac:dyDescent="0.25">
      <c r="A25" s="93"/>
      <c r="C25" s="93"/>
      <c r="E25" s="93"/>
    </row>
    <row r="26" spans="1:12" ht="15.75" x14ac:dyDescent="0.25">
      <c r="A26" s="93"/>
      <c r="C26" s="93"/>
      <c r="E26" s="93"/>
    </row>
    <row r="27" spans="1:12" ht="15.75" x14ac:dyDescent="0.25">
      <c r="A27" s="93"/>
      <c r="D27" s="93"/>
      <c r="F27" s="93"/>
    </row>
    <row r="28" spans="1:12" ht="15.75" x14ac:dyDescent="0.25">
      <c r="A28" s="93"/>
      <c r="B28" s="93"/>
      <c r="L28" s="93"/>
    </row>
    <row r="29" spans="1:12" ht="15.75" x14ac:dyDescent="0.25">
      <c r="A29" s="93"/>
    </row>
    <row r="30" spans="1:12" ht="15.75" x14ac:dyDescent="0.25">
      <c r="A30" s="93"/>
    </row>
    <row r="31" spans="1:12" ht="15.75" x14ac:dyDescent="0.25">
      <c r="A31" s="96"/>
    </row>
    <row r="32" spans="1:12" ht="15.75" x14ac:dyDescent="0.25">
      <c r="A32" s="96"/>
    </row>
    <row r="33" spans="1:1" ht="15.75" x14ac:dyDescent="0.25">
      <c r="A33" s="96"/>
    </row>
    <row r="34" spans="1:1" ht="15.75" x14ac:dyDescent="0.25">
      <c r="A34" s="93"/>
    </row>
    <row r="35" spans="1:1" ht="15.75" x14ac:dyDescent="0.25">
      <c r="A35" s="93"/>
    </row>
    <row r="36" spans="1:1" ht="15.75" x14ac:dyDescent="0.25">
      <c r="A36" s="93"/>
    </row>
    <row r="37" spans="1:1" ht="15.75" x14ac:dyDescent="0.25">
      <c r="A37" s="95"/>
    </row>
    <row r="38" spans="1:1" ht="15.75" x14ac:dyDescent="0.25">
      <c r="A38" s="95"/>
    </row>
    <row r="39" spans="1:1" ht="15.75" x14ac:dyDescent="0.25">
      <c r="A39" s="95"/>
    </row>
    <row r="40" spans="1:1" ht="15.75" x14ac:dyDescent="0.25">
      <c r="A40" s="93"/>
    </row>
    <row r="41" spans="1:1" ht="15.75" x14ac:dyDescent="0.25">
      <c r="A41" s="93"/>
    </row>
    <row r="42" spans="1:1" ht="15.75" x14ac:dyDescent="0.25">
      <c r="A42" s="93"/>
    </row>
    <row r="43" spans="1:1" ht="15.75" x14ac:dyDescent="0.25">
      <c r="A43" s="93"/>
    </row>
    <row r="44" spans="1:1" ht="15.75" x14ac:dyDescent="0.25">
      <c r="A44" s="93"/>
    </row>
    <row r="45" spans="1:1" ht="15.75" x14ac:dyDescent="0.25">
      <c r="A45" s="93"/>
    </row>
    <row r="46" spans="1:1" ht="15.75" x14ac:dyDescent="0.25">
      <c r="A46" s="94"/>
    </row>
  </sheetData>
  <mergeCells count="1">
    <mergeCell ref="A12:N15"/>
  </mergeCells>
  <hyperlinks>
    <hyperlink ref="A2" location="'Weekly Scheduler'!A1" display="Return to scheduler" xr:uid="{1992A512-9A30-4747-BF42-C74B55CE18B5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39C6-606F-764E-A19E-7A0B266D45E8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6826-5EC6-EC45-9910-400FE4FC1BA9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B50D-BF5E-0F4A-A8ED-1B9E8741972B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6361-D082-5742-BF38-5739E43F3933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Weekly Scheduler</vt:lpstr>
      <vt:lpstr>Client data</vt:lpstr>
      <vt:lpstr>define</vt:lpstr>
      <vt:lpstr>goal</vt:lpstr>
      <vt:lpstr>tips</vt:lpstr>
      <vt:lpstr>time</vt:lpstr>
      <vt:lpstr>resources</vt:lpstr>
      <vt:lpstr>'Weekly Scheduler'!Print_Area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Topher Fuqua</cp:lastModifiedBy>
  <dcterms:created xsi:type="dcterms:W3CDTF">2026-05-17T19:01:05Z</dcterms:created>
  <dcterms:modified xsi:type="dcterms:W3CDTF">2026-06-11T04:59:14Z</dcterms:modified>
  <cp:category/>
</cp:coreProperties>
</file>